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TEAM\CF\PUBLIC\CF DATA\"/>
    </mc:Choice>
  </mc:AlternateContent>
  <bookViews>
    <workbookView xWindow="120" yWindow="15" windowWidth="17400" windowHeight="12660" firstSheet="1" activeTab="1"/>
  </bookViews>
  <sheets>
    <sheet name="Data" sheetId="1" r:id="rId1"/>
    <sheet name="Data_mbcb" sheetId="2" r:id="rId2"/>
    <sheet name="Sheet1" sheetId="3" r:id="rId3"/>
    <sheet name="Sheet3" sheetId="4" r:id="rId4"/>
  </sheets>
  <definedNames>
    <definedName name="_xlnm.Print_Area" localSheetId="1">Data_mbcb!$1:$27</definedName>
  </definedNames>
  <calcPr calcId="152511"/>
</workbook>
</file>

<file path=xl/calcChain.xml><?xml version="1.0" encoding="utf-8"?>
<calcChain xmlns="http://schemas.openxmlformats.org/spreadsheetml/2006/main">
  <c r="G5" i="2" l="1"/>
  <c r="AG37" i="2" l="1"/>
  <c r="AG38" i="2"/>
  <c r="AG39" i="2"/>
  <c r="AG40" i="2"/>
  <c r="AG41" i="2"/>
  <c r="AG42" i="2"/>
  <c r="AG43" i="2"/>
  <c r="AG44" i="2"/>
  <c r="G35" i="2" a="1"/>
  <c r="G52" i="2" a="1"/>
  <c r="G69" i="2" a="1"/>
  <c r="G86" i="2" a="1"/>
  <c r="G35" i="2" l="1"/>
  <c r="H35" i="2"/>
  <c r="G36" i="2"/>
  <c r="H36" i="2"/>
  <c r="G87" i="2"/>
  <c r="H87" i="2"/>
  <c r="G86" i="2"/>
  <c r="H86" i="2"/>
  <c r="G53" i="2"/>
  <c r="H53" i="2"/>
  <c r="G52" i="2"/>
  <c r="H52" i="2"/>
  <c r="G69" i="2"/>
  <c r="H69" i="2"/>
  <c r="AP26" i="2"/>
  <c r="AG36" i="2"/>
  <c r="AG35" i="2"/>
  <c r="AP89" i="2" l="1"/>
  <c r="CJ48" i="2" s="1"/>
  <c r="AP90" i="2"/>
  <c r="CJ49" i="2" s="1"/>
  <c r="AP91" i="2"/>
  <c r="CJ50" i="2" s="1"/>
  <c r="AP92" i="2"/>
  <c r="CJ51" i="2" s="1"/>
  <c r="AP93" i="2"/>
  <c r="CJ52" i="2" s="1"/>
  <c r="AP94" i="2"/>
  <c r="CJ53" i="2" s="1"/>
  <c r="AP95" i="2"/>
  <c r="CJ54" i="2" s="1"/>
  <c r="AP72" i="2" l="1"/>
  <c r="CJ38" i="2" s="1"/>
  <c r="AP73" i="2"/>
  <c r="CJ39" i="2" s="1"/>
  <c r="AP74" i="2"/>
  <c r="CJ40" i="2" s="1"/>
  <c r="AP75" i="2"/>
  <c r="CJ41" i="2" s="1"/>
  <c r="AP76" i="2"/>
  <c r="CJ42" i="2" s="1"/>
  <c r="AP77" i="2"/>
  <c r="CJ43" i="2" s="1"/>
  <c r="AP78" i="2"/>
  <c r="CJ44" i="2" s="1"/>
  <c r="AP56" i="2"/>
  <c r="CJ29" i="2" s="1"/>
  <c r="AP57" i="2"/>
  <c r="CJ30" i="2" s="1"/>
  <c r="AP58" i="2"/>
  <c r="CJ31" i="2" s="1"/>
  <c r="AP59" i="2"/>
  <c r="CJ32" i="2" s="1"/>
  <c r="AP60" i="2"/>
  <c r="CJ33" i="2" s="1"/>
  <c r="AP61" i="2"/>
  <c r="CJ34" i="2" s="1"/>
  <c r="AP38" i="2"/>
  <c r="CJ18" i="2" s="1"/>
  <c r="AP39" i="2"/>
  <c r="CJ19" i="2" s="1"/>
  <c r="AP40" i="2"/>
  <c r="CJ20" i="2" s="1"/>
  <c r="AP41" i="2"/>
  <c r="CJ21" i="2" s="1"/>
  <c r="AP42" i="2"/>
  <c r="CJ22" i="2" s="1"/>
  <c r="AP43" i="2"/>
  <c r="CJ23" i="2" s="1"/>
  <c r="AP44" i="2"/>
  <c r="CJ24" i="2" s="1"/>
  <c r="AL89" i="2"/>
  <c r="AL90" i="2"/>
  <c r="AL91" i="2"/>
  <c r="AL92" i="2"/>
  <c r="AL93" i="2"/>
  <c r="AL94" i="2"/>
  <c r="AL95" i="2"/>
  <c r="AP71" i="2"/>
  <c r="AP70" i="2"/>
  <c r="CJ37" i="2" l="1"/>
  <c r="CJ36" i="2"/>
  <c r="CH54" i="2"/>
  <c r="CH53" i="2"/>
  <c r="CH52" i="2"/>
  <c r="CH51" i="2"/>
  <c r="CH50" i="2"/>
  <c r="CH49" i="2"/>
  <c r="CH48" i="2"/>
  <c r="AL72" i="2"/>
  <c r="AL73" i="2"/>
  <c r="AL74" i="2"/>
  <c r="AL75" i="2"/>
  <c r="AL76" i="2"/>
  <c r="AL77" i="2"/>
  <c r="AL78" i="2"/>
  <c r="AL56" i="2"/>
  <c r="AL57" i="2"/>
  <c r="AL58" i="2"/>
  <c r="AL59" i="2"/>
  <c r="AL60" i="2"/>
  <c r="AL61" i="2"/>
  <c r="AL71" i="2"/>
  <c r="AL70" i="2"/>
  <c r="CH34" i="2" l="1"/>
  <c r="CH33" i="2"/>
  <c r="CH32" i="2"/>
  <c r="CH31" i="2"/>
  <c r="CH30" i="2"/>
  <c r="CH29" i="2"/>
  <c r="AK95" i="2"/>
  <c r="AK94" i="2"/>
  <c r="AK93" i="2"/>
  <c r="AK92" i="2"/>
  <c r="AK91" i="2"/>
  <c r="AK90" i="2"/>
  <c r="AK89" i="2"/>
  <c r="AK78" i="2" l="1"/>
  <c r="AK77" i="2"/>
  <c r="AK76" i="2"/>
  <c r="AK75" i="2"/>
  <c r="AK74" i="2"/>
  <c r="AK73" i="2"/>
  <c r="AK72" i="2"/>
  <c r="AK71" i="2"/>
  <c r="AK61" i="2" l="1"/>
  <c r="AK60" i="2"/>
  <c r="AK59" i="2"/>
  <c r="AK58" i="2"/>
  <c r="AK57" i="2"/>
  <c r="AK56" i="2"/>
  <c r="AL38" i="2" l="1"/>
  <c r="CH18" i="2" s="1"/>
  <c r="AL39" i="2"/>
  <c r="CH19" i="2" s="1"/>
  <c r="AL40" i="2"/>
  <c r="CH20" i="2" s="1"/>
  <c r="AL41" i="2"/>
  <c r="CH21" i="2" s="1"/>
  <c r="AL42" i="2"/>
  <c r="CH22" i="2" s="1"/>
  <c r="AL43" i="2"/>
  <c r="CH23" i="2" s="1"/>
  <c r="AL44" i="2"/>
  <c r="AR78" i="2"/>
  <c r="AQ78" i="2"/>
  <c r="AO78" i="2"/>
  <c r="AN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T78" i="2"/>
  <c r="S78" i="2"/>
  <c r="R78" i="2"/>
  <c r="Q78" i="2"/>
  <c r="P78" i="2"/>
  <c r="N78" i="2"/>
  <c r="M78" i="2"/>
  <c r="K78" i="2"/>
  <c r="J78" i="2"/>
  <c r="I78" i="2"/>
  <c r="BF44" i="2" s="1"/>
  <c r="AR77" i="2"/>
  <c r="AQ77" i="2"/>
  <c r="AO77" i="2"/>
  <c r="AN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T77" i="2"/>
  <c r="S77" i="2"/>
  <c r="R77" i="2"/>
  <c r="Q77" i="2"/>
  <c r="P77" i="2"/>
  <c r="N77" i="2"/>
  <c r="M77" i="2"/>
  <c r="K77" i="2"/>
  <c r="J77" i="2"/>
  <c r="I77" i="2"/>
  <c r="BF43" i="2" s="1"/>
  <c r="AR76" i="2"/>
  <c r="AQ76" i="2"/>
  <c r="AO76" i="2"/>
  <c r="AN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T76" i="2"/>
  <c r="S76" i="2"/>
  <c r="R76" i="2"/>
  <c r="Q76" i="2"/>
  <c r="P76" i="2"/>
  <c r="N76" i="2"/>
  <c r="M76" i="2"/>
  <c r="K76" i="2"/>
  <c r="J76" i="2"/>
  <c r="I76" i="2"/>
  <c r="BF42" i="2" s="1"/>
  <c r="AR75" i="2"/>
  <c r="AQ75" i="2"/>
  <c r="AO75" i="2"/>
  <c r="AN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T75" i="2"/>
  <c r="S75" i="2"/>
  <c r="R75" i="2"/>
  <c r="Q75" i="2"/>
  <c r="P75" i="2"/>
  <c r="N75" i="2"/>
  <c r="M75" i="2"/>
  <c r="K75" i="2"/>
  <c r="J75" i="2"/>
  <c r="I75" i="2"/>
  <c r="BF41" i="2" s="1"/>
  <c r="AR74" i="2"/>
  <c r="AQ74" i="2"/>
  <c r="AO74" i="2"/>
  <c r="AN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T74" i="2"/>
  <c r="S74" i="2"/>
  <c r="R74" i="2"/>
  <c r="Q74" i="2"/>
  <c r="P74" i="2"/>
  <c r="N74" i="2"/>
  <c r="M74" i="2"/>
  <c r="K74" i="2"/>
  <c r="J74" i="2"/>
  <c r="I74" i="2"/>
  <c r="BF40" i="2" s="1"/>
  <c r="AR73" i="2"/>
  <c r="AQ73" i="2"/>
  <c r="AO73" i="2"/>
  <c r="AN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T73" i="2"/>
  <c r="S73" i="2"/>
  <c r="R73" i="2"/>
  <c r="Q73" i="2"/>
  <c r="P73" i="2"/>
  <c r="N73" i="2"/>
  <c r="M73" i="2"/>
  <c r="K73" i="2"/>
  <c r="J73" i="2"/>
  <c r="I73" i="2"/>
  <c r="BF39" i="2" s="1"/>
  <c r="AR72" i="2"/>
  <c r="AQ72" i="2"/>
  <c r="AO72" i="2"/>
  <c r="AN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T72" i="2"/>
  <c r="S72" i="2"/>
  <c r="R72" i="2"/>
  <c r="Q72" i="2"/>
  <c r="P72" i="2"/>
  <c r="N72" i="2"/>
  <c r="M72" i="2"/>
  <c r="K72" i="2"/>
  <c r="J72" i="2"/>
  <c r="I72" i="2"/>
  <c r="BF38" i="2" s="1"/>
  <c r="AR61" i="2"/>
  <c r="AQ61" i="2"/>
  <c r="AO61" i="2"/>
  <c r="AN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T61" i="2"/>
  <c r="S61" i="2"/>
  <c r="R61" i="2"/>
  <c r="Q61" i="2"/>
  <c r="P61" i="2"/>
  <c r="N61" i="2"/>
  <c r="M61" i="2"/>
  <c r="K61" i="2"/>
  <c r="J61" i="2"/>
  <c r="I61" i="2"/>
  <c r="BF34" i="2" s="1"/>
  <c r="AR60" i="2"/>
  <c r="AQ60" i="2"/>
  <c r="AO60" i="2"/>
  <c r="AN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T60" i="2"/>
  <c r="S60" i="2"/>
  <c r="R60" i="2"/>
  <c r="Q60" i="2"/>
  <c r="P60" i="2"/>
  <c r="N60" i="2"/>
  <c r="M60" i="2"/>
  <c r="K60" i="2"/>
  <c r="J60" i="2"/>
  <c r="I60" i="2"/>
  <c r="BF33" i="2" s="1"/>
  <c r="AR59" i="2"/>
  <c r="AQ59" i="2"/>
  <c r="AO59" i="2"/>
  <c r="AN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T59" i="2"/>
  <c r="S59" i="2"/>
  <c r="R59" i="2"/>
  <c r="Q59" i="2"/>
  <c r="P59" i="2"/>
  <c r="N59" i="2"/>
  <c r="M59" i="2"/>
  <c r="K59" i="2"/>
  <c r="J59" i="2"/>
  <c r="I59" i="2"/>
  <c r="BF32" i="2" s="1"/>
  <c r="AR58" i="2"/>
  <c r="AQ58" i="2"/>
  <c r="AO58" i="2"/>
  <c r="AN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T58" i="2"/>
  <c r="S58" i="2"/>
  <c r="R58" i="2"/>
  <c r="Q58" i="2"/>
  <c r="P58" i="2"/>
  <c r="N58" i="2"/>
  <c r="M58" i="2"/>
  <c r="K58" i="2"/>
  <c r="J58" i="2"/>
  <c r="I58" i="2"/>
  <c r="BF31" i="2" s="1"/>
  <c r="AR57" i="2"/>
  <c r="AQ57" i="2"/>
  <c r="AO57" i="2"/>
  <c r="AN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T57" i="2"/>
  <c r="S57" i="2"/>
  <c r="R57" i="2"/>
  <c r="Q57" i="2"/>
  <c r="P57" i="2"/>
  <c r="N57" i="2"/>
  <c r="M57" i="2"/>
  <c r="K57" i="2"/>
  <c r="J57" i="2"/>
  <c r="I57" i="2"/>
  <c r="BF30" i="2" s="1"/>
  <c r="AR56" i="2"/>
  <c r="AQ56" i="2"/>
  <c r="AO56" i="2"/>
  <c r="AN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T56" i="2"/>
  <c r="S56" i="2"/>
  <c r="R56" i="2"/>
  <c r="Q56" i="2"/>
  <c r="P56" i="2"/>
  <c r="N56" i="2"/>
  <c r="M56" i="2"/>
  <c r="K56" i="2"/>
  <c r="J56" i="2"/>
  <c r="I56" i="2"/>
  <c r="BF29" i="2" s="1"/>
  <c r="AR44" i="2"/>
  <c r="AQ44" i="2"/>
  <c r="AO44" i="2"/>
  <c r="CI24" i="2" s="1"/>
  <c r="AN44" i="2"/>
  <c r="AK44" i="2"/>
  <c r="AJ44" i="2"/>
  <c r="AI44" i="2"/>
  <c r="AH44" i="2"/>
  <c r="AF44" i="2"/>
  <c r="AE44" i="2"/>
  <c r="AD44" i="2"/>
  <c r="AC44" i="2"/>
  <c r="AB44" i="2"/>
  <c r="AA44" i="2"/>
  <c r="Z44" i="2"/>
  <c r="Y44" i="2"/>
  <c r="X44" i="2"/>
  <c r="W44" i="2"/>
  <c r="V44" i="2"/>
  <c r="T44" i="2"/>
  <c r="S44" i="2"/>
  <c r="R44" i="2"/>
  <c r="Q44" i="2"/>
  <c r="P44" i="2"/>
  <c r="N44" i="2"/>
  <c r="M44" i="2"/>
  <c r="K44" i="2"/>
  <c r="J44" i="2"/>
  <c r="I44" i="2"/>
  <c r="BF24" i="2" s="1"/>
  <c r="AR43" i="2"/>
  <c r="AQ43" i="2"/>
  <c r="AO43" i="2"/>
  <c r="AN43" i="2"/>
  <c r="AK43" i="2"/>
  <c r="AJ43" i="2"/>
  <c r="AI43" i="2"/>
  <c r="AH43" i="2"/>
  <c r="AF43" i="2"/>
  <c r="AE43" i="2"/>
  <c r="AD43" i="2"/>
  <c r="AC43" i="2"/>
  <c r="AB43" i="2"/>
  <c r="AA43" i="2"/>
  <c r="Z43" i="2"/>
  <c r="Y43" i="2"/>
  <c r="X43" i="2"/>
  <c r="W43" i="2"/>
  <c r="V43" i="2"/>
  <c r="T43" i="2"/>
  <c r="S43" i="2"/>
  <c r="R43" i="2"/>
  <c r="Q43" i="2"/>
  <c r="P43" i="2"/>
  <c r="N43" i="2"/>
  <c r="M43" i="2"/>
  <c r="K43" i="2"/>
  <c r="J43" i="2"/>
  <c r="I43" i="2"/>
  <c r="BF23" i="2" s="1"/>
  <c r="AR42" i="2"/>
  <c r="AQ42" i="2"/>
  <c r="AO42" i="2"/>
  <c r="AN42" i="2"/>
  <c r="AK42" i="2"/>
  <c r="AJ42" i="2"/>
  <c r="AI42" i="2"/>
  <c r="AH42" i="2"/>
  <c r="AF42" i="2"/>
  <c r="AE42" i="2"/>
  <c r="AD42" i="2"/>
  <c r="AC42" i="2"/>
  <c r="AB42" i="2"/>
  <c r="AA42" i="2"/>
  <c r="Z42" i="2"/>
  <c r="Y42" i="2"/>
  <c r="X42" i="2"/>
  <c r="W42" i="2"/>
  <c r="V42" i="2"/>
  <c r="T42" i="2"/>
  <c r="S42" i="2"/>
  <c r="R42" i="2"/>
  <c r="Q42" i="2"/>
  <c r="P42" i="2"/>
  <c r="N42" i="2"/>
  <c r="M42" i="2"/>
  <c r="K42" i="2"/>
  <c r="J42" i="2"/>
  <c r="I42" i="2"/>
  <c r="BF22" i="2" s="1"/>
  <c r="AR41" i="2"/>
  <c r="AQ41" i="2"/>
  <c r="AO41" i="2"/>
  <c r="AN41" i="2"/>
  <c r="AK41" i="2"/>
  <c r="AJ41" i="2"/>
  <c r="AI41" i="2"/>
  <c r="AH41" i="2"/>
  <c r="AF41" i="2"/>
  <c r="AE41" i="2"/>
  <c r="AD41" i="2"/>
  <c r="AC41" i="2"/>
  <c r="AB41" i="2"/>
  <c r="AA41" i="2"/>
  <c r="Z41" i="2"/>
  <c r="Y41" i="2"/>
  <c r="X41" i="2"/>
  <c r="W41" i="2"/>
  <c r="V41" i="2"/>
  <c r="T41" i="2"/>
  <c r="S41" i="2"/>
  <c r="R41" i="2"/>
  <c r="Q41" i="2"/>
  <c r="P41" i="2"/>
  <c r="N41" i="2"/>
  <c r="M41" i="2"/>
  <c r="K41" i="2"/>
  <c r="J41" i="2"/>
  <c r="I41" i="2"/>
  <c r="BF21" i="2" s="1"/>
  <c r="AR40" i="2"/>
  <c r="AQ40" i="2"/>
  <c r="AO40" i="2"/>
  <c r="AN40" i="2"/>
  <c r="AK40" i="2"/>
  <c r="AJ40" i="2"/>
  <c r="AI40" i="2"/>
  <c r="AH40" i="2"/>
  <c r="AF40" i="2"/>
  <c r="AE40" i="2"/>
  <c r="AD40" i="2"/>
  <c r="AC40" i="2"/>
  <c r="AB40" i="2"/>
  <c r="AA40" i="2"/>
  <c r="Z40" i="2"/>
  <c r="Y40" i="2"/>
  <c r="X40" i="2"/>
  <c r="W40" i="2"/>
  <c r="V40" i="2"/>
  <c r="T40" i="2"/>
  <c r="S40" i="2"/>
  <c r="R40" i="2"/>
  <c r="Q40" i="2"/>
  <c r="P40" i="2"/>
  <c r="N40" i="2"/>
  <c r="M40" i="2"/>
  <c r="K40" i="2"/>
  <c r="J40" i="2"/>
  <c r="I40" i="2"/>
  <c r="BF20" i="2" s="1"/>
  <c r="AR39" i="2"/>
  <c r="AQ39" i="2"/>
  <c r="AO39" i="2"/>
  <c r="AN39" i="2"/>
  <c r="AK39" i="2"/>
  <c r="AJ39" i="2"/>
  <c r="AI39" i="2"/>
  <c r="AH39" i="2"/>
  <c r="AF39" i="2"/>
  <c r="AE39" i="2"/>
  <c r="AD39" i="2"/>
  <c r="AC39" i="2"/>
  <c r="AB39" i="2"/>
  <c r="AA39" i="2"/>
  <c r="Z39" i="2"/>
  <c r="Y39" i="2"/>
  <c r="X39" i="2"/>
  <c r="W39" i="2"/>
  <c r="V39" i="2"/>
  <c r="T39" i="2"/>
  <c r="S39" i="2"/>
  <c r="R39" i="2"/>
  <c r="Q39" i="2"/>
  <c r="P39" i="2"/>
  <c r="N39" i="2"/>
  <c r="M39" i="2"/>
  <c r="K39" i="2"/>
  <c r="J39" i="2"/>
  <c r="I39" i="2"/>
  <c r="BF19" i="2" s="1"/>
  <c r="AR38" i="2"/>
  <c r="AQ38" i="2"/>
  <c r="AO38" i="2"/>
  <c r="AN38" i="2"/>
  <c r="AK38" i="2"/>
  <c r="AJ38" i="2"/>
  <c r="AI38" i="2"/>
  <c r="AH38" i="2"/>
  <c r="AF38" i="2"/>
  <c r="AE38" i="2"/>
  <c r="AD38" i="2"/>
  <c r="AC38" i="2"/>
  <c r="AB38" i="2"/>
  <c r="AA38" i="2"/>
  <c r="Z38" i="2"/>
  <c r="Y38" i="2"/>
  <c r="X38" i="2"/>
  <c r="W38" i="2"/>
  <c r="V38" i="2"/>
  <c r="T38" i="2"/>
  <c r="S38" i="2"/>
  <c r="R38" i="2"/>
  <c r="Q38" i="2"/>
  <c r="P38" i="2"/>
  <c r="N38" i="2"/>
  <c r="M38" i="2"/>
  <c r="K38" i="2"/>
  <c r="J38" i="2"/>
  <c r="I38" i="2"/>
  <c r="BF18" i="2" s="1"/>
  <c r="AC71" i="2"/>
  <c r="J71" i="2"/>
  <c r="AI71" i="2"/>
  <c r="AB71" i="2"/>
  <c r="I71" i="2"/>
  <c r="V71" i="2"/>
  <c r="AA71" i="2"/>
  <c r="Y71" i="2"/>
  <c r="AD71" i="2"/>
  <c r="AR71" i="2"/>
  <c r="X71" i="2"/>
  <c r="AO71" i="2"/>
  <c r="Q71" i="2"/>
  <c r="W71" i="2"/>
  <c r="AN71" i="2"/>
  <c r="T71" i="2"/>
  <c r="K71" i="2"/>
  <c r="AJ71" i="2"/>
  <c r="S71" i="2"/>
  <c r="AH71" i="2"/>
  <c r="AQ71" i="2"/>
  <c r="M71" i="2"/>
  <c r="AG71" i="2"/>
  <c r="P71" i="2"/>
  <c r="R71" i="2"/>
  <c r="AF71" i="2"/>
  <c r="N71" i="2"/>
  <c r="Z71" i="2"/>
  <c r="AE71" i="2"/>
  <c r="AM43" i="2"/>
  <c r="U54" i="2"/>
  <c r="AM40" i="2"/>
  <c r="U37" i="2"/>
  <c r="U35" i="2"/>
  <c r="U59" i="2"/>
  <c r="U61" i="2"/>
  <c r="U41" i="2"/>
  <c r="U42" i="2"/>
  <c r="U77" i="2"/>
  <c r="U57" i="2"/>
  <c r="U78" i="2"/>
  <c r="AM45" i="2"/>
  <c r="AM74" i="2"/>
  <c r="U40" i="2"/>
  <c r="U39" i="2"/>
  <c r="AM42" i="2"/>
  <c r="AM72" i="2"/>
  <c r="U73" i="2"/>
  <c r="AM35" i="2"/>
  <c r="AM38" i="2"/>
  <c r="U72" i="2"/>
  <c r="U38" i="2"/>
  <c r="AM41" i="2"/>
  <c r="AM44" i="2"/>
  <c r="U44" i="2"/>
  <c r="U60" i="2"/>
  <c r="AM78" i="2"/>
  <c r="AM73" i="2"/>
  <c r="U74" i="2"/>
  <c r="AM39" i="2"/>
  <c r="U43" i="2"/>
  <c r="U52" i="2"/>
  <c r="AM75" i="2"/>
  <c r="AM77" i="2"/>
  <c r="U55" i="2"/>
  <c r="AM76" i="2"/>
  <c r="AM37" i="2"/>
  <c r="U76" i="2"/>
  <c r="U56" i="2"/>
  <c r="U75" i="2"/>
  <c r="BF37" i="2" l="1"/>
  <c r="AQ89" i="2"/>
  <c r="AR89" i="2"/>
  <c r="AQ90" i="2"/>
  <c r="AR90" i="2"/>
  <c r="AQ91" i="2"/>
  <c r="AR91" i="2"/>
  <c r="AQ92" i="2"/>
  <c r="AR92" i="2"/>
  <c r="AQ93" i="2"/>
  <c r="AR93" i="2"/>
  <c r="AQ94" i="2"/>
  <c r="AR94" i="2"/>
  <c r="AQ95" i="2"/>
  <c r="AR95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A89" i="2"/>
  <c r="AB89" i="2"/>
  <c r="AC89" i="2"/>
  <c r="AD89" i="2"/>
  <c r="AE89" i="2"/>
  <c r="AF89" i="2"/>
  <c r="AG89" i="2"/>
  <c r="AH89" i="2"/>
  <c r="AI89" i="2"/>
  <c r="AJ89" i="2"/>
  <c r="AA90" i="2"/>
  <c r="AB90" i="2"/>
  <c r="AC90" i="2"/>
  <c r="AD90" i="2"/>
  <c r="AE90" i="2"/>
  <c r="AF90" i="2"/>
  <c r="AG90" i="2"/>
  <c r="AH90" i="2"/>
  <c r="AI90" i="2"/>
  <c r="AJ90" i="2"/>
  <c r="AA91" i="2"/>
  <c r="AB91" i="2"/>
  <c r="AC91" i="2"/>
  <c r="AD91" i="2"/>
  <c r="AE91" i="2"/>
  <c r="AF91" i="2"/>
  <c r="AG91" i="2"/>
  <c r="AH91" i="2"/>
  <c r="AI91" i="2"/>
  <c r="AJ91" i="2"/>
  <c r="AA92" i="2"/>
  <c r="AB92" i="2"/>
  <c r="AC92" i="2"/>
  <c r="AD92" i="2"/>
  <c r="AE92" i="2"/>
  <c r="AF92" i="2"/>
  <c r="AG92" i="2"/>
  <c r="AH92" i="2"/>
  <c r="AI92" i="2"/>
  <c r="AJ92" i="2"/>
  <c r="AA93" i="2"/>
  <c r="AB93" i="2"/>
  <c r="AC93" i="2"/>
  <c r="AD93" i="2"/>
  <c r="AE93" i="2"/>
  <c r="AF93" i="2"/>
  <c r="AG93" i="2"/>
  <c r="AH93" i="2"/>
  <c r="AI93" i="2"/>
  <c r="AJ93" i="2"/>
  <c r="AA94" i="2"/>
  <c r="AB94" i="2"/>
  <c r="AC94" i="2"/>
  <c r="AD94" i="2"/>
  <c r="AE94" i="2"/>
  <c r="AF94" i="2"/>
  <c r="AG94" i="2"/>
  <c r="AH94" i="2"/>
  <c r="AI94" i="2"/>
  <c r="AJ94" i="2"/>
  <c r="AA95" i="2"/>
  <c r="AB95" i="2"/>
  <c r="AC95" i="2"/>
  <c r="AD95" i="2"/>
  <c r="AE95" i="2"/>
  <c r="AF95" i="2"/>
  <c r="AG95" i="2"/>
  <c r="AH95" i="2"/>
  <c r="AI95" i="2"/>
  <c r="AJ95" i="2"/>
  <c r="Z95" i="2"/>
  <c r="Y95" i="2"/>
  <c r="X95" i="2"/>
  <c r="W95" i="2"/>
  <c r="V95" i="2"/>
  <c r="Z94" i="2"/>
  <c r="Y94" i="2"/>
  <c r="X94" i="2"/>
  <c r="W94" i="2"/>
  <c r="V94" i="2"/>
  <c r="Z93" i="2"/>
  <c r="Y93" i="2"/>
  <c r="X93" i="2"/>
  <c r="W93" i="2"/>
  <c r="V93" i="2"/>
  <c r="Z92" i="2"/>
  <c r="Y92" i="2"/>
  <c r="X92" i="2"/>
  <c r="W92" i="2"/>
  <c r="V92" i="2"/>
  <c r="Z91" i="2"/>
  <c r="Y91" i="2"/>
  <c r="X91" i="2"/>
  <c r="W91" i="2"/>
  <c r="V91" i="2"/>
  <c r="Z90" i="2"/>
  <c r="Y90" i="2"/>
  <c r="X90" i="2"/>
  <c r="W90" i="2"/>
  <c r="V90" i="2"/>
  <c r="Z89" i="2"/>
  <c r="Y89" i="2"/>
  <c r="X89" i="2"/>
  <c r="W89" i="2"/>
  <c r="V89" i="2"/>
  <c r="R89" i="2"/>
  <c r="S89" i="2"/>
  <c r="T89" i="2"/>
  <c r="R90" i="2"/>
  <c r="S90" i="2"/>
  <c r="T90" i="2"/>
  <c r="R91" i="2"/>
  <c r="S91" i="2"/>
  <c r="T91" i="2"/>
  <c r="R92" i="2"/>
  <c r="S92" i="2"/>
  <c r="T92" i="2"/>
  <c r="R93" i="2"/>
  <c r="S93" i="2"/>
  <c r="T93" i="2"/>
  <c r="R94" i="2"/>
  <c r="S94" i="2"/>
  <c r="T94" i="2"/>
  <c r="R95" i="2"/>
  <c r="S95" i="2"/>
  <c r="T95" i="2"/>
  <c r="Q95" i="2"/>
  <c r="P95" i="2"/>
  <c r="Q94" i="2"/>
  <c r="P94" i="2"/>
  <c r="Q93" i="2"/>
  <c r="P93" i="2"/>
  <c r="Q92" i="2"/>
  <c r="P92" i="2"/>
  <c r="Q91" i="2"/>
  <c r="P91" i="2"/>
  <c r="Q90" i="2"/>
  <c r="P90" i="2"/>
  <c r="Q89" i="2"/>
  <c r="P89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K95" i="2"/>
  <c r="J95" i="2"/>
  <c r="I95" i="2"/>
  <c r="BF54" i="2" s="1"/>
  <c r="K94" i="2"/>
  <c r="J94" i="2"/>
  <c r="I94" i="2"/>
  <c r="BF53" i="2" s="1"/>
  <c r="K93" i="2"/>
  <c r="J93" i="2"/>
  <c r="I93" i="2"/>
  <c r="BF52" i="2" s="1"/>
  <c r="K92" i="2"/>
  <c r="J92" i="2"/>
  <c r="I92" i="2"/>
  <c r="BF51" i="2" s="1"/>
  <c r="K91" i="2"/>
  <c r="J91" i="2"/>
  <c r="I91" i="2"/>
  <c r="BF50" i="2" s="1"/>
  <c r="K90" i="2"/>
  <c r="J90" i="2"/>
  <c r="I90" i="2"/>
  <c r="BF49" i="2" s="1"/>
  <c r="K89" i="2"/>
  <c r="J89" i="2"/>
  <c r="I89" i="2"/>
  <c r="BF48" i="2" s="1"/>
  <c r="AP88" i="2"/>
  <c r="AP55" i="2"/>
  <c r="AK88" i="2"/>
  <c r="AL88" i="2"/>
  <c r="AK55" i="2"/>
  <c r="AL55" i="2"/>
  <c r="AK70" i="2"/>
  <c r="AK69" i="2"/>
  <c r="AP69" i="2"/>
  <c r="AP37" i="2"/>
  <c r="AL37" i="2"/>
  <c r="AK54" i="2"/>
  <c r="AP54" i="2"/>
  <c r="AL54" i="2"/>
  <c r="U93" i="2"/>
  <c r="AM95" i="2"/>
  <c r="AM94" i="2"/>
  <c r="U94" i="2"/>
  <c r="AM90" i="2"/>
  <c r="AM93" i="2"/>
  <c r="AM89" i="2"/>
  <c r="U91" i="2"/>
  <c r="AM92" i="2"/>
  <c r="U90" i="2"/>
  <c r="U95" i="2"/>
  <c r="U92" i="2"/>
  <c r="U89" i="2"/>
  <c r="AM91" i="2"/>
  <c r="AP53" i="2"/>
  <c r="AP36" i="2"/>
  <c r="AP52" i="2"/>
  <c r="AK52" i="2"/>
  <c r="AP87" i="2"/>
  <c r="AL36" i="2"/>
  <c r="AL53" i="2"/>
  <c r="AK87" i="2"/>
  <c r="AK53" i="2"/>
  <c r="AL52" i="2"/>
  <c r="AL87" i="2"/>
  <c r="AP35" i="2"/>
  <c r="AL86" i="2"/>
  <c r="AK86" i="2"/>
  <c r="AL35" i="2"/>
  <c r="AP86" i="2"/>
  <c r="CJ25" i="2" l="1"/>
  <c r="CJ45" i="2"/>
  <c r="CJ16" i="2"/>
  <c r="CJ26" i="2"/>
  <c r="CJ46" i="2"/>
  <c r="CJ15" i="2"/>
  <c r="CJ27" i="2"/>
  <c r="CJ17" i="2"/>
  <c r="CJ28" i="2"/>
  <c r="CJ47" i="2"/>
  <c r="CJ35" i="2"/>
  <c r="CH16" i="2"/>
  <c r="CH46" i="2"/>
  <c r="CH26" i="2"/>
  <c r="CH27" i="2"/>
  <c r="CH17" i="2"/>
  <c r="CH25" i="2"/>
  <c r="CH28" i="2"/>
  <c r="CH47" i="2"/>
  <c r="CH45" i="2"/>
  <c r="CH15" i="2"/>
  <c r="O61" i="2"/>
  <c r="AG70" i="2"/>
  <c r="AI70" i="2"/>
  <c r="AQ70" i="2"/>
  <c r="P70" i="2"/>
  <c r="W70" i="2"/>
  <c r="AB70" i="2"/>
  <c r="AA70" i="2"/>
  <c r="Z70" i="2"/>
  <c r="Y70" i="2"/>
  <c r="Q70" i="2"/>
  <c r="AH70" i="2"/>
  <c r="AE70" i="2"/>
  <c r="K70" i="2"/>
  <c r="J70" i="2"/>
  <c r="AR70" i="2"/>
  <c r="AD70" i="2"/>
  <c r="AO70" i="2"/>
  <c r="S70" i="2"/>
  <c r="X70" i="2"/>
  <c r="AJ70" i="2"/>
  <c r="AN70" i="2"/>
  <c r="M70" i="2"/>
  <c r="V70" i="2"/>
  <c r="AL69" i="2"/>
  <c r="N70" i="2"/>
  <c r="AF70" i="2"/>
  <c r="T70" i="2"/>
  <c r="I70" i="2"/>
  <c r="AC70" i="2"/>
  <c r="R70" i="2"/>
  <c r="BF36" i="2" l="1"/>
  <c r="L61" i="2"/>
  <c r="O60" i="2" l="1"/>
  <c r="L60" i="2" l="1"/>
  <c r="O59" i="2" l="1"/>
  <c r="L59" i="2" l="1"/>
  <c r="O58" i="2" l="1"/>
  <c r="L58" i="2" l="1"/>
  <c r="O57" i="2" l="1"/>
  <c r="L57" i="2" l="1"/>
  <c r="O56" i="2" l="1"/>
  <c r="L56" i="2" l="1"/>
  <c r="L44" i="2" l="1"/>
  <c r="L43" i="2"/>
  <c r="L42" i="2"/>
  <c r="L41" i="2"/>
  <c r="L40" i="2"/>
  <c r="L39" i="2"/>
  <c r="L38" i="2"/>
  <c r="O40" i="2" l="1"/>
  <c r="O39" i="2"/>
  <c r="O43" i="2"/>
  <c r="O42" i="2"/>
  <c r="O41" i="2"/>
  <c r="O44" i="2"/>
  <c r="O38" i="2"/>
  <c r="J8" i="2"/>
  <c r="K8" i="2" s="1"/>
  <c r="L8" i="2" s="1"/>
  <c r="M8" i="2" s="1"/>
  <c r="N8" i="2" s="1"/>
  <c r="O8" i="2" s="1"/>
  <c r="P8" i="2" s="1"/>
  <c r="Q8" i="2" s="1"/>
  <c r="R8" i="2" s="1"/>
  <c r="S8" i="2" s="1"/>
  <c r="T8" i="2" s="1"/>
  <c r="W8" i="2"/>
  <c r="X8" i="2" s="1"/>
  <c r="Y8" i="2" s="1"/>
  <c r="Z8" i="2" s="1"/>
  <c r="AA8" i="2" s="1"/>
  <c r="AB8" i="2" s="1"/>
  <c r="AC8" i="2" s="1"/>
  <c r="AD8" i="2" s="1"/>
  <c r="AE8" i="2" s="1"/>
  <c r="AF8" i="2" s="1"/>
  <c r="AG8" i="2" s="1"/>
  <c r="AH8" i="2" s="1"/>
  <c r="AI8" i="2" s="1"/>
  <c r="AJ8" i="2" s="1"/>
  <c r="AK8" i="2" s="1"/>
  <c r="AL8" i="2" s="1"/>
  <c r="G5" i="1"/>
  <c r="G80" i="1" a="1"/>
  <c r="G36" i="1" a="1"/>
  <c r="G58" i="1" a="1"/>
  <c r="G102" i="1" a="1"/>
  <c r="H58" i="1" l="1"/>
  <c r="G58" i="1"/>
  <c r="H36" i="1"/>
  <c r="G36" i="1"/>
  <c r="H80" i="1"/>
  <c r="G80" i="1"/>
  <c r="G103" i="1"/>
  <c r="H102" i="1"/>
  <c r="G102" i="1"/>
  <c r="H103" i="1"/>
  <c r="I88" i="2"/>
  <c r="K88" i="2"/>
  <c r="J88" i="2"/>
  <c r="M88" i="2"/>
  <c r="N88" i="2"/>
  <c r="P88" i="2"/>
  <c r="Q88" i="2"/>
  <c r="T88" i="2"/>
  <c r="S88" i="2"/>
  <c r="R88" i="2"/>
  <c r="V88" i="2"/>
  <c r="W88" i="2"/>
  <c r="X88" i="2"/>
  <c r="Y88" i="2"/>
  <c r="Z88" i="2"/>
  <c r="AJ88" i="2"/>
  <c r="AI88" i="2"/>
  <c r="AH88" i="2"/>
  <c r="AG88" i="2"/>
  <c r="AF88" i="2"/>
  <c r="AE88" i="2"/>
  <c r="AD88" i="2"/>
  <c r="AC88" i="2"/>
  <c r="AB88" i="2"/>
  <c r="AA88" i="2"/>
  <c r="AN88" i="2"/>
  <c r="AO88" i="2"/>
  <c r="AR88" i="2"/>
  <c r="AQ88" i="2"/>
  <c r="I55" i="2"/>
  <c r="J55" i="2"/>
  <c r="P55" i="2"/>
  <c r="T55" i="2"/>
  <c r="X55" i="2"/>
  <c r="AB55" i="2"/>
  <c r="AF55" i="2"/>
  <c r="AJ55" i="2"/>
  <c r="AO55" i="2"/>
  <c r="N55" i="2"/>
  <c r="S55" i="2"/>
  <c r="W55" i="2"/>
  <c r="AA55" i="2"/>
  <c r="AE55" i="2"/>
  <c r="AI55" i="2"/>
  <c r="AN55" i="2"/>
  <c r="M55" i="2"/>
  <c r="R55" i="2"/>
  <c r="V55" i="2"/>
  <c r="Z55" i="2"/>
  <c r="AD55" i="2"/>
  <c r="AH55" i="2"/>
  <c r="AR55" i="2"/>
  <c r="K55" i="2"/>
  <c r="Q55" i="2"/>
  <c r="Y55" i="2"/>
  <c r="AC55" i="2"/>
  <c r="AG55" i="2"/>
  <c r="AQ55" i="2"/>
  <c r="Q37" i="2"/>
  <c r="R37" i="2"/>
  <c r="AN37" i="2"/>
  <c r="S37" i="2"/>
  <c r="X37" i="2"/>
  <c r="W37" i="2"/>
  <c r="T37" i="2"/>
  <c r="AE37" i="2"/>
  <c r="I37" i="2"/>
  <c r="AF37" i="2"/>
  <c r="M37" i="2"/>
  <c r="AD37" i="2"/>
  <c r="AR37" i="2"/>
  <c r="Z37" i="2"/>
  <c r="AI37" i="2"/>
  <c r="AO37" i="2"/>
  <c r="J37" i="2"/>
  <c r="AQ37" i="2"/>
  <c r="AJ37" i="2"/>
  <c r="AK37" i="2"/>
  <c r="AH37" i="2"/>
  <c r="V37" i="2"/>
  <c r="AA37" i="2"/>
  <c r="K37" i="2"/>
  <c r="AB37" i="2"/>
  <c r="P37" i="2"/>
  <c r="N37" i="2"/>
  <c r="AC37" i="2"/>
  <c r="Y37" i="2"/>
  <c r="AR54" i="2"/>
  <c r="AE54" i="2"/>
  <c r="K54" i="2"/>
  <c r="AD54" i="2"/>
  <c r="T54" i="2"/>
  <c r="S54" i="2"/>
  <c r="AA54" i="2"/>
  <c r="Z54" i="2"/>
  <c r="AO54" i="2"/>
  <c r="AI54" i="2"/>
  <c r="I54" i="2"/>
  <c r="J54" i="2"/>
  <c r="Q54" i="2"/>
  <c r="AF54" i="2"/>
  <c r="AB54" i="2"/>
  <c r="X54" i="2"/>
  <c r="M54" i="2"/>
  <c r="R54" i="2"/>
  <c r="AG54" i="2"/>
  <c r="V54" i="2"/>
  <c r="W54" i="2"/>
  <c r="N54" i="2"/>
  <c r="AJ54" i="2"/>
  <c r="AC54" i="2"/>
  <c r="AN54" i="2"/>
  <c r="Y54" i="2"/>
  <c r="AQ54" i="2"/>
  <c r="P54" i="2"/>
  <c r="AH54" i="2"/>
  <c r="U58" i="2"/>
  <c r="Y53" i="2"/>
  <c r="J53" i="2"/>
  <c r="W53" i="2"/>
  <c r="AQ53" i="2"/>
  <c r="T53" i="2"/>
  <c r="Q53" i="2"/>
  <c r="AO53" i="2"/>
  <c r="AQ52" i="2"/>
  <c r="AA52" i="2"/>
  <c r="Q52" i="2"/>
  <c r="AB52" i="2"/>
  <c r="T52" i="2"/>
  <c r="J52" i="2"/>
  <c r="AG52" i="2"/>
  <c r="T87" i="2"/>
  <c r="AN87" i="2"/>
  <c r="AE36" i="2"/>
  <c r="P36" i="2"/>
  <c r="AR36" i="2"/>
  <c r="K87" i="2"/>
  <c r="AB87" i="2"/>
  <c r="AC36" i="2"/>
  <c r="AR87" i="2"/>
  <c r="J36" i="2"/>
  <c r="J87" i="2"/>
  <c r="AC87" i="2"/>
  <c r="W36" i="2"/>
  <c r="Y36" i="2"/>
  <c r="AK36" i="2"/>
  <c r="AC53" i="2"/>
  <c r="X53" i="2"/>
  <c r="AR53" i="2"/>
  <c r="AN53" i="2"/>
  <c r="V53" i="2"/>
  <c r="AA53" i="2"/>
  <c r="I53" i="2"/>
  <c r="AF52" i="2"/>
  <c r="R52" i="2"/>
  <c r="AH52" i="2"/>
  <c r="AJ52" i="2"/>
  <c r="AC52" i="2"/>
  <c r="Y52" i="2"/>
  <c r="AD52" i="2"/>
  <c r="AQ87" i="2"/>
  <c r="AH87" i="2"/>
  <c r="Z36" i="2"/>
  <c r="AA36" i="2"/>
  <c r="AA87" i="2"/>
  <c r="M87" i="2"/>
  <c r="AH36" i="2"/>
  <c r="K36" i="2"/>
  <c r="P87" i="2"/>
  <c r="I36" i="2"/>
  <c r="Z87" i="2"/>
  <c r="I87" i="2"/>
  <c r="AQ36" i="2"/>
  <c r="AF36" i="2"/>
  <c r="X36" i="2"/>
  <c r="M53" i="2"/>
  <c r="AG53" i="2"/>
  <c r="K53" i="2"/>
  <c r="AJ53" i="2"/>
  <c r="AI53" i="2"/>
  <c r="Z53" i="2"/>
  <c r="N53" i="2"/>
  <c r="AB53" i="2"/>
  <c r="K52" i="2"/>
  <c r="S52" i="2"/>
  <c r="X52" i="2"/>
  <c r="AR52" i="2"/>
  <c r="N52" i="2"/>
  <c r="V52" i="2"/>
  <c r="AE52" i="2"/>
  <c r="R87" i="2"/>
  <c r="X87" i="2"/>
  <c r="AJ36" i="2"/>
  <c r="W87" i="2"/>
  <c r="Y87" i="2"/>
  <c r="Q87" i="2"/>
  <c r="N36" i="2"/>
  <c r="AI36" i="2"/>
  <c r="AI87" i="2"/>
  <c r="N87" i="2"/>
  <c r="S87" i="2"/>
  <c r="Q36" i="2"/>
  <c r="AN36" i="2"/>
  <c r="AD36" i="2"/>
  <c r="AE53" i="2"/>
  <c r="AF53" i="2"/>
  <c r="AH53" i="2"/>
  <c r="P53" i="2"/>
  <c r="AD53" i="2"/>
  <c r="R53" i="2"/>
  <c r="S53" i="2"/>
  <c r="AO52" i="2"/>
  <c r="AI52" i="2"/>
  <c r="W52" i="2"/>
  <c r="I52" i="2"/>
  <c r="M52" i="2"/>
  <c r="AN52" i="2"/>
  <c r="Z52" i="2"/>
  <c r="P52" i="2"/>
  <c r="AE87" i="2"/>
  <c r="M36" i="2"/>
  <c r="S36" i="2"/>
  <c r="AD87" i="2"/>
  <c r="AF87" i="2"/>
  <c r="AG87" i="2"/>
  <c r="T36" i="2"/>
  <c r="AO36" i="2"/>
  <c r="AO87" i="2"/>
  <c r="AJ87" i="2"/>
  <c r="V87" i="2"/>
  <c r="R36" i="2"/>
  <c r="V36" i="2"/>
  <c r="AB36" i="2"/>
  <c r="AE86" i="2"/>
  <c r="R35" i="2"/>
  <c r="W35" i="2"/>
  <c r="AA35" i="2"/>
  <c r="AH35" i="2"/>
  <c r="AD86" i="2"/>
  <c r="AK35" i="2"/>
  <c r="M86" i="2"/>
  <c r="AH86" i="2"/>
  <c r="I35" i="2"/>
  <c r="AF86" i="2"/>
  <c r="AI35" i="2"/>
  <c r="AD35" i="2"/>
  <c r="AB86" i="2"/>
  <c r="V86" i="2"/>
  <c r="AQ35" i="2"/>
  <c r="AG86" i="2"/>
  <c r="J86" i="2"/>
  <c r="S86" i="2"/>
  <c r="Q35" i="2"/>
  <c r="AO35" i="2"/>
  <c r="Z35" i="2"/>
  <c r="P86" i="2"/>
  <c r="S35" i="2"/>
  <c r="AI86" i="2"/>
  <c r="AB35" i="2"/>
  <c r="AO86" i="2"/>
  <c r="X86" i="2"/>
  <c r="N86" i="2"/>
  <c r="J35" i="2"/>
  <c r="AC35" i="2"/>
  <c r="AN86" i="2"/>
  <c r="AF35" i="2"/>
  <c r="AE35" i="2"/>
  <c r="AJ86" i="2"/>
  <c r="R86" i="2"/>
  <c r="Y35" i="2"/>
  <c r="K35" i="2"/>
  <c r="V35" i="2"/>
  <c r="AA86" i="2"/>
  <c r="W86" i="2"/>
  <c r="AR86" i="2"/>
  <c r="AC86" i="2"/>
  <c r="N35" i="2"/>
  <c r="X35" i="2"/>
  <c r="T86" i="2"/>
  <c r="P35" i="2"/>
  <c r="I86" i="2"/>
  <c r="K86" i="2"/>
  <c r="T35" i="2"/>
  <c r="AJ35" i="2"/>
  <c r="M35" i="2"/>
  <c r="AQ86" i="2"/>
  <c r="Q86" i="2"/>
  <c r="Y86" i="2"/>
  <c r="AN35" i="2"/>
  <c r="AR35" i="2"/>
  <c r="Z86" i="2"/>
  <c r="BF47" i="2" l="1"/>
  <c r="BF28" i="2"/>
  <c r="BF27" i="2"/>
  <c r="BF26" i="2"/>
  <c r="BF16" i="2"/>
  <c r="BF17" i="2"/>
  <c r="BF45" i="2"/>
  <c r="BF46" i="2"/>
  <c r="BF25" i="2"/>
  <c r="O52" i="2"/>
  <c r="L52" i="2"/>
  <c r="O36" i="2"/>
  <c r="L36" i="2"/>
  <c r="O55" i="2"/>
  <c r="L55" i="2"/>
  <c r="L54" i="2"/>
  <c r="O54" i="2"/>
  <c r="L37" i="2"/>
  <c r="O37" i="2"/>
  <c r="O53" i="2"/>
  <c r="L53" i="2"/>
  <c r="BE16" i="2"/>
  <c r="BD47" i="2"/>
  <c r="BE46" i="2"/>
  <c r="BD46" i="2"/>
  <c r="BE45" i="2"/>
  <c r="BE47" i="2"/>
  <c r="BE26" i="2"/>
  <c r="BE27" i="2"/>
  <c r="BG11" i="2"/>
  <c r="BH11" i="2" s="1"/>
  <c r="BI11" i="2" s="1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U11" i="2" s="1"/>
  <c r="BV11" i="2" s="1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CG11" i="2" s="1"/>
  <c r="CH11" i="2" s="1"/>
  <c r="CI11" i="2" s="1"/>
  <c r="CJ11" i="2" s="1"/>
  <c r="CK11" i="2" s="1"/>
  <c r="AP8" i="2" s="1"/>
  <c r="I83" i="2"/>
  <c r="I66" i="2"/>
  <c r="I49" i="2"/>
  <c r="I32" i="2"/>
  <c r="AA69" i="2"/>
  <c r="AB69" i="2"/>
  <c r="P69" i="2"/>
  <c r="R69" i="2"/>
  <c r="AH69" i="2"/>
  <c r="W69" i="2"/>
  <c r="V69" i="2"/>
  <c r="I69" i="2"/>
  <c r="T69" i="2"/>
  <c r="Y69" i="2"/>
  <c r="AO69" i="2"/>
  <c r="M69" i="2"/>
  <c r="Q69" i="2"/>
  <c r="AQ69" i="2"/>
  <c r="AF69" i="2"/>
  <c r="AN69" i="2"/>
  <c r="Z69" i="2"/>
  <c r="X69" i="2"/>
  <c r="J69" i="2"/>
  <c r="AJ69" i="2"/>
  <c r="AC69" i="2"/>
  <c r="AI69" i="2"/>
  <c r="K69" i="2"/>
  <c r="N69" i="2"/>
  <c r="S69" i="2"/>
  <c r="AG69" i="2"/>
  <c r="AR69" i="2"/>
  <c r="AE69" i="2"/>
  <c r="AD69" i="2"/>
  <c r="CL11" i="2" l="1"/>
  <c r="AQ8" i="2" s="1"/>
  <c r="BF35" i="2"/>
  <c r="AN8" i="2"/>
  <c r="BE15" i="2"/>
  <c r="BD15" i="2"/>
  <c r="CL51" i="2"/>
  <c r="CL48" i="2"/>
  <c r="CL52" i="2"/>
  <c r="CL49" i="2"/>
  <c r="CL53" i="2"/>
  <c r="CL50" i="2"/>
  <c r="CL54" i="2"/>
  <c r="CL41" i="2"/>
  <c r="CL39" i="2"/>
  <c r="CL43" i="2"/>
  <c r="CL42" i="2"/>
  <c r="CL40" i="2"/>
  <c r="CL44" i="2"/>
  <c r="CL38" i="2"/>
  <c r="CL37" i="2"/>
  <c r="CL29" i="2"/>
  <c r="CL28" i="2"/>
  <c r="CL27" i="2"/>
  <c r="CL34" i="2"/>
  <c r="CL30" i="2"/>
  <c r="CL22" i="2"/>
  <c r="CL24" i="2"/>
  <c r="CL20" i="2"/>
  <c r="CL23" i="2"/>
  <c r="CL19" i="2"/>
  <c r="CL18" i="2"/>
  <c r="CL21" i="2"/>
  <c r="CL47" i="2" l="1"/>
  <c r="BF15" i="2"/>
  <c r="CL46" i="2"/>
  <c r="CL26" i="2"/>
  <c r="BE36" i="2"/>
  <c r="CL36" i="2" l="1"/>
  <c r="CL15" i="2"/>
  <c r="CL16" i="2"/>
  <c r="CL35" i="2"/>
  <c r="BD36" i="2"/>
  <c r="CL17" i="2" l="1"/>
  <c r="BQ48" i="2"/>
  <c r="BQ49" i="2"/>
  <c r="BQ50" i="2"/>
  <c r="BQ51" i="2"/>
  <c r="BQ52" i="2"/>
  <c r="BQ53" i="2"/>
  <c r="BQ54" i="2"/>
  <c r="BE48" i="2"/>
  <c r="BE49" i="2"/>
  <c r="BE50" i="2"/>
  <c r="BE51" i="2"/>
  <c r="BE52" i="2"/>
  <c r="BE53" i="2"/>
  <c r="BE54" i="2"/>
  <c r="BD48" i="2"/>
  <c r="AX48" i="2" s="1"/>
  <c r="BA48" i="2" s="1"/>
  <c r="BD49" i="2"/>
  <c r="AX49" i="2" s="1"/>
  <c r="BA49" i="2" s="1"/>
  <c r="BD50" i="2"/>
  <c r="AX50" i="2" s="1"/>
  <c r="BA50" i="2" s="1"/>
  <c r="BD51" i="2"/>
  <c r="AX51" i="2" s="1"/>
  <c r="BA51" i="2" s="1"/>
  <c r="BD52" i="2"/>
  <c r="BD53" i="2"/>
  <c r="AX53" i="2" s="1"/>
  <c r="BA53" i="2" s="1"/>
  <c r="BD54" i="2"/>
  <c r="BE18" i="2"/>
  <c r="BE19" i="2"/>
  <c r="BE20" i="2"/>
  <c r="BE21" i="2"/>
  <c r="BE22" i="2"/>
  <c r="BE23" i="2"/>
  <c r="BE24" i="2"/>
  <c r="BD18" i="2"/>
  <c r="BD19" i="2"/>
  <c r="BD20" i="2"/>
  <c r="BD21" i="2"/>
  <c r="BD22" i="2"/>
  <c r="BD23" i="2"/>
  <c r="BD24" i="2"/>
  <c r="AX24" i="2" s="1"/>
  <c r="BA24" i="2" s="1"/>
  <c r="BE38" i="2"/>
  <c r="BQ38" i="2"/>
  <c r="BE39" i="2"/>
  <c r="BQ39" i="2"/>
  <c r="BE40" i="2"/>
  <c r="BQ40" i="2"/>
  <c r="BE41" i="2"/>
  <c r="BQ41" i="2"/>
  <c r="BE42" i="2"/>
  <c r="BQ42" i="2"/>
  <c r="BE43" i="2"/>
  <c r="BQ43" i="2"/>
  <c r="BE44" i="2"/>
  <c r="BQ44" i="2"/>
  <c r="BD38" i="2"/>
  <c r="AX38" i="2" s="1"/>
  <c r="BA38" i="2" s="1"/>
  <c r="BD39" i="2"/>
  <c r="AX39" i="2" s="1"/>
  <c r="BA39" i="2" s="1"/>
  <c r="BD40" i="2"/>
  <c r="AX40" i="2" s="1"/>
  <c r="BA40" i="2" s="1"/>
  <c r="BD41" i="2"/>
  <c r="AX41" i="2" s="1"/>
  <c r="BA41" i="2" s="1"/>
  <c r="BD42" i="2"/>
  <c r="AX42" i="2" s="1"/>
  <c r="BA42" i="2" s="1"/>
  <c r="BD43" i="2"/>
  <c r="BD44" i="2"/>
  <c r="BD28" i="2"/>
  <c r="BE28" i="2"/>
  <c r="BQ28" i="2"/>
  <c r="BD29" i="2"/>
  <c r="AX29" i="2" s="1"/>
  <c r="BA29" i="2" s="1"/>
  <c r="BE29" i="2"/>
  <c r="BQ29" i="2"/>
  <c r="BD30" i="2"/>
  <c r="AX30" i="2" s="1"/>
  <c r="BA30" i="2" s="1"/>
  <c r="BE30" i="2"/>
  <c r="BQ30" i="2"/>
  <c r="BD31" i="2"/>
  <c r="AX31" i="2" s="1"/>
  <c r="BA31" i="2" s="1"/>
  <c r="BE31" i="2"/>
  <c r="BQ31" i="2"/>
  <c r="BD32" i="2"/>
  <c r="BE32" i="2"/>
  <c r="BQ32" i="2"/>
  <c r="BD33" i="2"/>
  <c r="AX33" i="2" s="1"/>
  <c r="BA33" i="2" s="1"/>
  <c r="BE33" i="2"/>
  <c r="BQ33" i="2"/>
  <c r="BD34" i="2"/>
  <c r="AX34" i="2" s="1"/>
  <c r="BA34" i="2" s="1"/>
  <c r="BE34" i="2"/>
  <c r="BQ34" i="2"/>
  <c r="AX54" i="2"/>
  <c r="BA54" i="2" s="1"/>
  <c r="AX52" i="2"/>
  <c r="BA52" i="2" s="1"/>
  <c r="AS45" i="2"/>
  <c r="AX32" i="2"/>
  <c r="BA32" i="2" s="1"/>
  <c r="CF54" i="2" l="1"/>
  <c r="CG54" i="2"/>
  <c r="CI54" i="2"/>
  <c r="CK54" i="2"/>
  <c r="CE54" i="2"/>
  <c r="CF53" i="2" l="1"/>
  <c r="CG53" i="2"/>
  <c r="CI53" i="2"/>
  <c r="CK53" i="2"/>
  <c r="BG54" i="2"/>
  <c r="L95" i="2"/>
  <c r="BI54" i="2" s="1"/>
  <c r="BH54" i="2"/>
  <c r="O95" i="2"/>
  <c r="BL54" i="2" s="1"/>
  <c r="BJ54" i="2"/>
  <c r="BK54" i="2"/>
  <c r="BM54" i="2"/>
  <c r="BN54" i="2"/>
  <c r="BO54" i="2"/>
  <c r="BP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3" i="2"/>
  <c r="CF52" i="2" l="1"/>
  <c r="CG52" i="2"/>
  <c r="CI52" i="2"/>
  <c r="CK52" i="2"/>
  <c r="BG53" i="2"/>
  <c r="L94" i="2"/>
  <c r="BI53" i="2" s="1"/>
  <c r="BH53" i="2"/>
  <c r="O94" i="2"/>
  <c r="BL53" i="2" s="1"/>
  <c r="BJ53" i="2"/>
  <c r="BK53" i="2"/>
  <c r="BM53" i="2"/>
  <c r="BN53" i="2"/>
  <c r="BO53" i="2"/>
  <c r="BP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2" i="2"/>
  <c r="CF51" i="2" l="1"/>
  <c r="CG51" i="2"/>
  <c r="CI51" i="2"/>
  <c r="CK51" i="2"/>
  <c r="BG52" i="2"/>
  <c r="L93" i="2"/>
  <c r="BI52" i="2" s="1"/>
  <c r="BH52" i="2"/>
  <c r="BJ52" i="2"/>
  <c r="O93" i="2"/>
  <c r="BL52" i="2" s="1"/>
  <c r="BK52" i="2"/>
  <c r="BM52" i="2"/>
  <c r="BN52" i="2"/>
  <c r="BO52" i="2"/>
  <c r="BP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1" i="2"/>
  <c r="CF50" i="2" l="1"/>
  <c r="CG50" i="2"/>
  <c r="CI50" i="2"/>
  <c r="CK50" i="2"/>
  <c r="L92" i="2"/>
  <c r="BI51" i="2" s="1"/>
  <c r="BG51" i="2"/>
  <c r="BH51" i="2"/>
  <c r="BJ51" i="2"/>
  <c r="O92" i="2"/>
  <c r="BL51" i="2" s="1"/>
  <c r="BK51" i="2"/>
  <c r="BM51" i="2"/>
  <c r="BN51" i="2"/>
  <c r="BO51" i="2"/>
  <c r="BP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0" i="2"/>
  <c r="CF49" i="2" l="1"/>
  <c r="CG49" i="2"/>
  <c r="CI49" i="2"/>
  <c r="CK49" i="2"/>
  <c r="BG50" i="2"/>
  <c r="L91" i="2"/>
  <c r="BI50" i="2" s="1"/>
  <c r="BH50" i="2"/>
  <c r="O91" i="2"/>
  <c r="BL50" i="2" s="1"/>
  <c r="BJ50" i="2"/>
  <c r="BK50" i="2"/>
  <c r="BM50" i="2"/>
  <c r="BN50" i="2"/>
  <c r="BO50" i="2"/>
  <c r="BP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49" i="2"/>
  <c r="CF48" i="2" l="1"/>
  <c r="CG48" i="2"/>
  <c r="CI48" i="2"/>
  <c r="CK48" i="2"/>
  <c r="BG49" i="2"/>
  <c r="L90" i="2"/>
  <c r="BI49" i="2" s="1"/>
  <c r="BH49" i="2"/>
  <c r="O90" i="2"/>
  <c r="BL49" i="2" s="1"/>
  <c r="BJ49" i="2"/>
  <c r="BK49" i="2"/>
  <c r="BM49" i="2"/>
  <c r="BN49" i="2"/>
  <c r="BO49" i="2"/>
  <c r="BP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8" i="2"/>
  <c r="L89" i="2" l="1"/>
  <c r="BI48" i="2" s="1"/>
  <c r="BG48" i="2"/>
  <c r="BH48" i="2"/>
  <c r="BJ48" i="2"/>
  <c r="O89" i="2"/>
  <c r="BL48" i="2" s="1"/>
  <c r="BK48" i="2"/>
  <c r="BM48" i="2"/>
  <c r="BN48" i="2"/>
  <c r="BO48" i="2"/>
  <c r="BP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AX44" i="2"/>
  <c r="BA44" i="2" s="1"/>
  <c r="AX43" i="2" l="1"/>
  <c r="BA43" i="2" s="1"/>
  <c r="O83" i="2"/>
  <c r="N83" i="2"/>
  <c r="M83" i="2"/>
  <c r="L83" i="2"/>
  <c r="K83" i="2"/>
  <c r="J83" i="2"/>
  <c r="H83" i="2"/>
  <c r="CF44" i="2" l="1"/>
  <c r="CG44" i="2"/>
  <c r="CI44" i="2"/>
  <c r="CK44" i="2"/>
  <c r="CE44" i="2"/>
  <c r="CF43" i="2" l="1"/>
  <c r="CG43" i="2"/>
  <c r="CI43" i="2"/>
  <c r="CK43" i="2"/>
  <c r="BG44" i="2"/>
  <c r="L78" i="2"/>
  <c r="BI44" i="2" s="1"/>
  <c r="BH44" i="2"/>
  <c r="O78" i="2"/>
  <c r="BL44" i="2" s="1"/>
  <c r="BJ44" i="2"/>
  <c r="BK44" i="2"/>
  <c r="BM44" i="2"/>
  <c r="BN44" i="2"/>
  <c r="BO44" i="2"/>
  <c r="BP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3" i="2"/>
  <c r="CF42" i="2" l="1"/>
  <c r="CG42" i="2"/>
  <c r="CI42" i="2"/>
  <c r="CK42" i="2"/>
  <c r="BG43" i="2"/>
  <c r="L77" i="2"/>
  <c r="BI43" i="2" s="1"/>
  <c r="BH43" i="2"/>
  <c r="O77" i="2"/>
  <c r="BL43" i="2" s="1"/>
  <c r="BJ43" i="2"/>
  <c r="BK43" i="2"/>
  <c r="BM43" i="2"/>
  <c r="BN43" i="2"/>
  <c r="BO43" i="2"/>
  <c r="BP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2" i="2"/>
  <c r="CF41" i="2" l="1"/>
  <c r="CG41" i="2"/>
  <c r="CI41" i="2"/>
  <c r="CK41" i="2"/>
  <c r="L76" i="2"/>
  <c r="BI42" i="2" s="1"/>
  <c r="BG42" i="2"/>
  <c r="BH42" i="2"/>
  <c r="BJ42" i="2"/>
  <c r="O76" i="2"/>
  <c r="BL42" i="2" s="1"/>
  <c r="BK42" i="2"/>
  <c r="BM42" i="2"/>
  <c r="BN42" i="2"/>
  <c r="BO42" i="2"/>
  <c r="BP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1" i="2"/>
  <c r="CF40" i="2" l="1"/>
  <c r="CG40" i="2"/>
  <c r="CI40" i="2"/>
  <c r="CK40" i="2"/>
  <c r="L75" i="2"/>
  <c r="BI41" i="2" s="1"/>
  <c r="BG41" i="2"/>
  <c r="BH41" i="2"/>
  <c r="O75" i="2"/>
  <c r="BL41" i="2" s="1"/>
  <c r="BJ41" i="2"/>
  <c r="BK41" i="2"/>
  <c r="BM41" i="2"/>
  <c r="BN41" i="2"/>
  <c r="BO41" i="2"/>
  <c r="BP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0" i="2"/>
  <c r="CF39" i="2" l="1"/>
  <c r="CG39" i="2"/>
  <c r="CI39" i="2"/>
  <c r="CK39" i="2"/>
  <c r="BG40" i="2"/>
  <c r="L74" i="2"/>
  <c r="BI40" i="2" s="1"/>
  <c r="BH40" i="2"/>
  <c r="O74" i="2"/>
  <c r="BL40" i="2" s="1"/>
  <c r="BJ40" i="2"/>
  <c r="BK40" i="2"/>
  <c r="BM40" i="2"/>
  <c r="BN40" i="2"/>
  <c r="BO40" i="2"/>
  <c r="BP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39" i="2"/>
  <c r="CF38" i="2" l="1"/>
  <c r="CG38" i="2"/>
  <c r="CI38" i="2"/>
  <c r="CK38" i="2"/>
  <c r="BG39" i="2"/>
  <c r="L73" i="2"/>
  <c r="BI39" i="2" s="1"/>
  <c r="BH39" i="2"/>
  <c r="O73" i="2"/>
  <c r="BL39" i="2" s="1"/>
  <c r="BJ39" i="2"/>
  <c r="BK39" i="2"/>
  <c r="BM39" i="2"/>
  <c r="BN39" i="2"/>
  <c r="BO39" i="2"/>
  <c r="BP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8" i="2"/>
  <c r="BG38" i="2" l="1"/>
  <c r="L72" i="2"/>
  <c r="BI38" i="2" s="1"/>
  <c r="BH38" i="2"/>
  <c r="BJ38" i="2"/>
  <c r="O72" i="2"/>
  <c r="BL38" i="2" s="1"/>
  <c r="BK38" i="2"/>
  <c r="BM38" i="2"/>
  <c r="BN38" i="2"/>
  <c r="BO38" i="2"/>
  <c r="BP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O66" i="2" l="1"/>
  <c r="N66" i="2"/>
  <c r="M66" i="2"/>
  <c r="L66" i="2"/>
  <c r="K66" i="2"/>
  <c r="J66" i="2"/>
  <c r="H66" i="2"/>
  <c r="CF34" i="2" l="1"/>
  <c r="CG34" i="2"/>
  <c r="CI34" i="2"/>
  <c r="CK34" i="2"/>
  <c r="CE34" i="2"/>
  <c r="BG34" i="2" l="1"/>
  <c r="BI34" i="2"/>
  <c r="BH34" i="2"/>
  <c r="BL34" i="2"/>
  <c r="BJ34" i="2"/>
  <c r="BK34" i="2"/>
  <c r="BM34" i="2"/>
  <c r="BN34" i="2"/>
  <c r="BO34" i="2"/>
  <c r="BP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AX28" i="2"/>
  <c r="BA28" i="2" s="1"/>
  <c r="O49" i="2" l="1"/>
  <c r="N49" i="2"/>
  <c r="M49" i="2"/>
  <c r="L49" i="2"/>
  <c r="K49" i="2"/>
  <c r="J49" i="2"/>
  <c r="H49" i="2"/>
  <c r="BU28" i="2" l="1"/>
  <c r="BV28" i="2"/>
  <c r="BX28" i="2"/>
  <c r="BO28" i="2"/>
  <c r="BI28" i="2"/>
  <c r="BG28" i="2"/>
  <c r="BY28" i="2"/>
  <c r="BK28" i="2"/>
  <c r="CB28" i="2"/>
  <c r="BS28" i="2"/>
  <c r="CD28" i="2"/>
  <c r="BM28" i="2"/>
  <c r="CC28" i="2"/>
  <c r="BP28" i="2"/>
  <c r="BH28" i="2"/>
  <c r="BW28" i="2"/>
  <c r="BZ28" i="2"/>
  <c r="BR28" i="2"/>
  <c r="BN28" i="2"/>
  <c r="BT28" i="2"/>
  <c r="BL28" i="2"/>
  <c r="BJ28" i="2"/>
  <c r="CA28" i="2"/>
  <c r="CF28" i="2"/>
  <c r="BL29" i="2"/>
  <c r="BJ29" i="2"/>
  <c r="BI29" i="2"/>
  <c r="BG29" i="2"/>
  <c r="BY29" i="2"/>
  <c r="BZ29" i="2"/>
  <c r="BP29" i="2"/>
  <c r="BO29" i="2"/>
  <c r="BH29" i="2"/>
  <c r="BM29" i="2"/>
  <c r="CC29" i="2"/>
  <c r="CG28" i="2"/>
  <c r="BT29" i="2"/>
  <c r="BS29" i="2"/>
  <c r="BR29" i="2"/>
  <c r="BV29" i="2"/>
  <c r="CI28" i="2"/>
  <c r="CK28" i="2"/>
  <c r="BX29" i="2"/>
  <c r="BW29" i="2"/>
  <c r="CE28" i="2"/>
  <c r="CD29" i="2"/>
  <c r="BU29" i="2"/>
  <c r="BN29" i="2"/>
  <c r="BK29" i="2"/>
  <c r="CB29" i="2"/>
  <c r="CA29" i="2"/>
  <c r="CE29" i="2"/>
  <c r="BZ30" i="2"/>
  <c r="BM30" i="2"/>
  <c r="CC30" i="2"/>
  <c r="CG29" i="2"/>
  <c r="BT30" i="2"/>
  <c r="BH30" i="2"/>
  <c r="CD30" i="2"/>
  <c r="BJ30" i="2"/>
  <c r="BL30" i="2"/>
  <c r="CK29" i="2"/>
  <c r="BX30" i="2"/>
  <c r="BO30" i="2"/>
  <c r="BV30" i="2"/>
  <c r="BN30" i="2"/>
  <c r="BU30" i="2"/>
  <c r="BS30" i="2"/>
  <c r="BK30" i="2"/>
  <c r="CB30" i="2"/>
  <c r="BW30" i="2"/>
  <c r="CF29" i="2"/>
  <c r="CI29" i="2"/>
  <c r="BR30" i="2"/>
  <c r="BI30" i="2"/>
  <c r="BG30" i="2"/>
  <c r="BY30" i="2"/>
  <c r="CA30" i="2"/>
  <c r="BP30" i="2"/>
  <c r="CI30" i="2"/>
  <c r="CF30" i="2"/>
  <c r="CG30" i="2"/>
  <c r="CE30" i="2"/>
  <c r="CK30" i="2"/>
  <c r="CG24" i="2"/>
  <c r="CK17" i="2"/>
  <c r="CK18" i="2"/>
  <c r="CK19" i="2"/>
  <c r="CK20" i="2"/>
  <c r="CK21" i="2"/>
  <c r="CK22" i="2"/>
  <c r="CK23" i="2"/>
  <c r="CK24" i="2"/>
  <c r="CI17" i="2"/>
  <c r="CI18" i="2"/>
  <c r="CI19" i="2"/>
  <c r="CI20" i="2"/>
  <c r="CI21" i="2"/>
  <c r="CI22" i="2"/>
  <c r="CI23" i="2"/>
  <c r="CE24" i="2"/>
  <c r="CG23" i="2" l="1"/>
  <c r="BG24" i="2"/>
  <c r="BH24" i="2"/>
  <c r="BJ24" i="2"/>
  <c r="BS24" i="2"/>
  <c r="BU24" i="2"/>
  <c r="BW24" i="2"/>
  <c r="BY24" i="2"/>
  <c r="CA24" i="2"/>
  <c r="CC24" i="2"/>
  <c r="CE23" i="2"/>
  <c r="BI24" i="2" l="1"/>
  <c r="BJ23" i="2"/>
  <c r="BS23" i="2"/>
  <c r="BU23" i="2"/>
  <c r="BW23" i="2"/>
  <c r="BY23" i="2"/>
  <c r="CA23" i="2"/>
  <c r="CC23" i="2"/>
  <c r="AX23" i="2"/>
  <c r="BA23" i="2" s="1"/>
  <c r="AS44" i="2"/>
  <c r="BK24" i="2" l="1"/>
  <c r="CG22" i="2"/>
  <c r="BG23" i="2"/>
  <c r="BH23" i="2"/>
  <c r="CE22" i="2"/>
  <c r="BM24" i="2" l="1"/>
  <c r="BL24" i="2"/>
  <c r="BI23" i="2"/>
  <c r="BJ22" i="2"/>
  <c r="BS22" i="2"/>
  <c r="BU22" i="2"/>
  <c r="BW22" i="2"/>
  <c r="BY22" i="2"/>
  <c r="CA22" i="2"/>
  <c r="CC22" i="2"/>
  <c r="AX22" i="2"/>
  <c r="BA22" i="2" s="1"/>
  <c r="AS43" i="2"/>
  <c r="BO24" i="2" l="1"/>
  <c r="BK23" i="2"/>
  <c r="BP24" i="2"/>
  <c r="BN24" i="2"/>
  <c r="CG21" i="2"/>
  <c r="BG22" i="2"/>
  <c r="BH22" i="2"/>
  <c r="CE21" i="2"/>
  <c r="BQ24" i="2" l="1"/>
  <c r="BM23" i="2"/>
  <c r="BI22" i="2"/>
  <c r="BL23" i="2"/>
  <c r="BJ21" i="2"/>
  <c r="BS21" i="2"/>
  <c r="BU21" i="2"/>
  <c r="BW21" i="2"/>
  <c r="BY21" i="2"/>
  <c r="CA21" i="2"/>
  <c r="CC21" i="2"/>
  <c r="AS42" i="2"/>
  <c r="AX21" i="2"/>
  <c r="BA21" i="2" s="1"/>
  <c r="BR24" i="2" l="1"/>
  <c r="BK22" i="2"/>
  <c r="BO23" i="2"/>
  <c r="BP23" i="2"/>
  <c r="BN23" i="2"/>
  <c r="CG20" i="2"/>
  <c r="BG21" i="2"/>
  <c r="BH21" i="2"/>
  <c r="CE20" i="2"/>
  <c r="BI21" i="2" l="1"/>
  <c r="BT24" i="2"/>
  <c r="BQ23" i="2"/>
  <c r="BM22" i="2"/>
  <c r="BL22" i="2"/>
  <c r="BJ20" i="2"/>
  <c r="BS20" i="2"/>
  <c r="BU20" i="2"/>
  <c r="BW20" i="2"/>
  <c r="BY20" i="2"/>
  <c r="CA20" i="2"/>
  <c r="CC20" i="2"/>
  <c r="AS41" i="2"/>
  <c r="AX20" i="2"/>
  <c r="BA20" i="2" s="1"/>
  <c r="BR23" i="2" l="1"/>
  <c r="BK21" i="2"/>
  <c r="BO22" i="2"/>
  <c r="BV24" i="2"/>
  <c r="BP22" i="2"/>
  <c r="BN22" i="2"/>
  <c r="CG19" i="2"/>
  <c r="BG20" i="2"/>
  <c r="BH20" i="2"/>
  <c r="CE19" i="2"/>
  <c r="BT23" i="2" l="1"/>
  <c r="BQ22" i="2"/>
  <c r="BI20" i="2"/>
  <c r="BM21" i="2"/>
  <c r="BX24" i="2"/>
  <c r="BL21" i="2"/>
  <c r="BJ19" i="2"/>
  <c r="BS19" i="2"/>
  <c r="BU19" i="2"/>
  <c r="BW19" i="2"/>
  <c r="BY19" i="2"/>
  <c r="CA19" i="2"/>
  <c r="CC19" i="2"/>
  <c r="AS40" i="2"/>
  <c r="AX19" i="2"/>
  <c r="BA19" i="2" s="1"/>
  <c r="BZ24" i="2" l="1"/>
  <c r="BV23" i="2"/>
  <c r="BK20" i="2"/>
  <c r="BO21" i="2"/>
  <c r="BR22" i="2"/>
  <c r="BP21" i="2"/>
  <c r="BN21" i="2"/>
  <c r="CG18" i="2"/>
  <c r="BG19" i="2"/>
  <c r="BH19" i="2"/>
  <c r="CE18" i="2"/>
  <c r="BM20" i="2" l="1"/>
  <c r="CB24" i="2"/>
  <c r="BT22" i="2"/>
  <c r="BL20" i="2"/>
  <c r="BX23" i="2"/>
  <c r="BI19" i="2"/>
  <c r="BQ21" i="2"/>
  <c r="BJ18" i="2"/>
  <c r="BS18" i="2"/>
  <c r="BU18" i="2"/>
  <c r="BW18" i="2"/>
  <c r="BY18" i="2"/>
  <c r="CA18" i="2"/>
  <c r="CC18" i="2"/>
  <c r="AS39" i="2"/>
  <c r="AX18" i="2"/>
  <c r="BA18" i="2" s="1"/>
  <c r="BR21" i="2" l="1"/>
  <c r="BZ23" i="2"/>
  <c r="BV22" i="2"/>
  <c r="BO20" i="2"/>
  <c r="CF24" i="2"/>
  <c r="CD24" i="2"/>
  <c r="BK19" i="2"/>
  <c r="BP20" i="2"/>
  <c r="BN20" i="2"/>
  <c r="CG17" i="2"/>
  <c r="BG18" i="2"/>
  <c r="BH18" i="2"/>
  <c r="CE17" i="2"/>
  <c r="BX22" i="2" l="1"/>
  <c r="BT21" i="2"/>
  <c r="BL19" i="2"/>
  <c r="BQ20" i="2"/>
  <c r="CB23" i="2"/>
  <c r="BI18" i="2"/>
  <c r="BM19" i="2"/>
  <c r="BW17" i="2"/>
  <c r="CA17" i="2"/>
  <c r="BS17" i="2"/>
  <c r="BU17" i="2"/>
  <c r="CC17" i="2"/>
  <c r="BY17" i="2"/>
  <c r="BJ17" i="2"/>
  <c r="AS38" i="2"/>
  <c r="CF23" i="2" l="1"/>
  <c r="CD23" i="2"/>
  <c r="BZ22" i="2"/>
  <c r="BP19" i="2"/>
  <c r="BN19" i="2"/>
  <c r="BO19" i="2"/>
  <c r="BR20" i="2"/>
  <c r="BV21" i="2"/>
  <c r="BK18" i="2"/>
  <c r="BG17" i="2"/>
  <c r="BH17" i="2"/>
  <c r="BM18" i="2" l="1"/>
  <c r="BL18" i="2"/>
  <c r="BX21" i="2"/>
  <c r="CB22" i="2"/>
  <c r="BT20" i="2"/>
  <c r="BQ19" i="2"/>
  <c r="BI17" i="2"/>
  <c r="AS37" i="2"/>
  <c r="O32" i="2"/>
  <c r="N32" i="2"/>
  <c r="M32" i="2"/>
  <c r="L32" i="2"/>
  <c r="K32" i="2"/>
  <c r="J32" i="2"/>
  <c r="H32" i="2"/>
  <c r="BO18" i="2" l="1"/>
  <c r="BV20" i="2"/>
  <c r="CF22" i="2"/>
  <c r="CD22" i="2"/>
  <c r="BZ21" i="2"/>
  <c r="BR19" i="2"/>
  <c r="BP18" i="2"/>
  <c r="BN18" i="2"/>
  <c r="BK17" i="2"/>
  <c r="BE35" i="2"/>
  <c r="BE25" i="2"/>
  <c r="BE37" i="2"/>
  <c r="BD17" i="2"/>
  <c r="AX17" i="2" s="1"/>
  <c r="BA17" i="2" s="1"/>
  <c r="BE17" i="2"/>
  <c r="F24" i="2"/>
  <c r="AJ67" i="1"/>
  <c r="AJ110" i="1"/>
  <c r="AJ66" i="1"/>
  <c r="AJ64" i="1"/>
  <c r="AJ95" i="1"/>
  <c r="AJ88" i="1"/>
  <c r="AJ94" i="1"/>
  <c r="AJ83" i="1"/>
  <c r="AJ107" i="1"/>
  <c r="AJ86" i="1"/>
  <c r="AJ93" i="1"/>
  <c r="AJ61" i="1"/>
  <c r="AJ63" i="1"/>
  <c r="AJ85" i="1"/>
  <c r="AJ111" i="1"/>
  <c r="AJ90" i="1"/>
  <c r="AJ92" i="1"/>
  <c r="AJ96" i="1"/>
  <c r="AJ105" i="1"/>
  <c r="AJ109" i="1"/>
  <c r="AJ104" i="1"/>
  <c r="AJ62" i="1"/>
  <c r="AJ87" i="1"/>
  <c r="AJ89" i="1"/>
  <c r="AJ82" i="1"/>
  <c r="AJ65" i="1"/>
  <c r="AJ91" i="1"/>
  <c r="AJ106" i="1"/>
  <c r="AJ108" i="1"/>
  <c r="AJ84" i="1"/>
  <c r="BT19" i="2" l="1"/>
  <c r="BQ18" i="2"/>
  <c r="CB21" i="2"/>
  <c r="BX20" i="2"/>
  <c r="BM17" i="2"/>
  <c r="BL17" i="2"/>
  <c r="BG27" i="2"/>
  <c r="BJ47" i="2"/>
  <c r="BH47" i="2"/>
  <c r="BJ46" i="2"/>
  <c r="BG45" i="2"/>
  <c r="BH45" i="2"/>
  <c r="BJ45" i="2"/>
  <c r="BH46" i="2"/>
  <c r="BG46" i="2"/>
  <c r="BG47" i="2"/>
  <c r="BJ16" i="2"/>
  <c r="BH16" i="2"/>
  <c r="BG16" i="2"/>
  <c r="BG26" i="2"/>
  <c r="CK37" i="2"/>
  <c r="CL25" i="2"/>
  <c r="CK25" i="2"/>
  <c r="CL45" i="2"/>
  <c r="L88" i="2"/>
  <c r="BI47" i="2" s="1"/>
  <c r="O88" i="2"/>
  <c r="BL47" i="2" s="1"/>
  <c r="BK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I47" i="2"/>
  <c r="CK47" i="2"/>
  <c r="AX47" i="2"/>
  <c r="BA47" i="2" s="1"/>
  <c r="CK36" i="2"/>
  <c r="CI36" i="2"/>
  <c r="CG36" i="2"/>
  <c r="CE36" i="2"/>
  <c r="CC36" i="2"/>
  <c r="CA36" i="2"/>
  <c r="CF36" i="2"/>
  <c r="CD36" i="2"/>
  <c r="CB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K36" i="2"/>
  <c r="BH36" i="2"/>
  <c r="BG36" i="2"/>
  <c r="L71" i="2"/>
  <c r="BI37" i="2" s="1"/>
  <c r="BG37" i="2"/>
  <c r="BH37" i="2"/>
  <c r="O71" i="2"/>
  <c r="BL37" i="2" s="1"/>
  <c r="BJ37" i="2"/>
  <c r="BK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I37" i="2"/>
  <c r="BD37" i="2"/>
  <c r="AX37" i="2" s="1"/>
  <c r="BA37" i="2" s="1"/>
  <c r="CG15" i="2"/>
  <c r="CI15" i="2"/>
  <c r="CE15" i="2"/>
  <c r="CA15" i="2"/>
  <c r="CC15" i="2"/>
  <c r="BU15" i="2"/>
  <c r="BJ15" i="2"/>
  <c r="BW15" i="2"/>
  <c r="BS15" i="2"/>
  <c r="CK15" i="2"/>
  <c r="BH15" i="2"/>
  <c r="BY15" i="2"/>
  <c r="BG15" i="2"/>
  <c r="BD16" i="2"/>
  <c r="AX16" i="2" s="1"/>
  <c r="BA16" i="2" s="1"/>
  <c r="CK27" i="2"/>
  <c r="BL27" i="2"/>
  <c r="BJ27" i="2"/>
  <c r="BK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I27" i="2"/>
  <c r="BI27" i="2"/>
  <c r="BH27" i="2"/>
  <c r="BD27" i="2"/>
  <c r="AX27" i="2" s="1"/>
  <c r="BA27" i="2" s="1"/>
  <c r="BI26" i="2"/>
  <c r="BH26" i="2"/>
  <c r="BU26" i="2"/>
  <c r="BT26" i="2"/>
  <c r="BS26" i="2"/>
  <c r="BR26" i="2"/>
  <c r="BQ26" i="2"/>
  <c r="BP26" i="2"/>
  <c r="BO26" i="2"/>
  <c r="BN26" i="2"/>
  <c r="BM26" i="2"/>
  <c r="BK26" i="2"/>
  <c r="BL26" i="2"/>
  <c r="BJ26" i="2"/>
  <c r="CK26" i="2"/>
  <c r="CI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L69" i="2"/>
  <c r="BI35" i="2" s="1"/>
  <c r="BG35" i="2"/>
  <c r="B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K35" i="2"/>
  <c r="O69" i="2"/>
  <c r="BL35" i="2" s="1"/>
  <c r="BJ35" i="2"/>
  <c r="CI35" i="2"/>
  <c r="CK35" i="2"/>
  <c r="L35" i="2"/>
  <c r="BH25" i="2"/>
  <c r="BU25" i="2"/>
  <c r="BT25" i="2"/>
  <c r="BS25" i="2"/>
  <c r="BR25" i="2"/>
  <c r="BQ25" i="2"/>
  <c r="BP25" i="2"/>
  <c r="BO25" i="2"/>
  <c r="BN25" i="2"/>
  <c r="BM25" i="2"/>
  <c r="BK25" i="2"/>
  <c r="BJ25" i="2"/>
  <c r="BL25" i="2"/>
  <c r="CC25" i="2"/>
  <c r="CB25" i="2"/>
  <c r="CA25" i="2"/>
  <c r="BZ25" i="2"/>
  <c r="BY25" i="2"/>
  <c r="BX25" i="2"/>
  <c r="BW25" i="2"/>
  <c r="BV25" i="2"/>
  <c r="CF25" i="2"/>
  <c r="CE25" i="2"/>
  <c r="CD25" i="2"/>
  <c r="CG25" i="2"/>
  <c r="CI25" i="2"/>
  <c r="BG25" i="2"/>
  <c r="BI25" i="2"/>
  <c r="CK46" i="2"/>
  <c r="CI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K46" i="2"/>
  <c r="O87" i="2"/>
  <c r="BL46" i="2" s="1"/>
  <c r="L87" i="2"/>
  <c r="BI46" i="2" s="1"/>
  <c r="L86" i="2"/>
  <c r="BI45" i="2" s="1"/>
  <c r="CK45" i="2"/>
  <c r="CI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K45" i="2"/>
  <c r="O86" i="2"/>
  <c r="BL45" i="2" s="1"/>
  <c r="BD26" i="2"/>
  <c r="AX26" i="2" s="1"/>
  <c r="BA26" i="2" s="1"/>
  <c r="AX36" i="2"/>
  <c r="BA36" i="2" s="1"/>
  <c r="BD35" i="2"/>
  <c r="AX35" i="2" s="1"/>
  <c r="BA35" i="2" s="1"/>
  <c r="AX15" i="2"/>
  <c r="BA15" i="2" s="1"/>
  <c r="BD25" i="2"/>
  <c r="AX25" i="2" s="1"/>
  <c r="BA25" i="2" s="1"/>
  <c r="AX46" i="2"/>
  <c r="BA46" i="2" s="1"/>
  <c r="BD45" i="2"/>
  <c r="AX45" i="2" s="1"/>
  <c r="BA45" i="2" s="1"/>
  <c r="BW28" i="1"/>
  <c r="BW29" i="1"/>
  <c r="BW30" i="1"/>
  <c r="BW31" i="1"/>
  <c r="BW32" i="1"/>
  <c r="BW33" i="1"/>
  <c r="BW34" i="1"/>
  <c r="BW37" i="1"/>
  <c r="BW38" i="1"/>
  <c r="BW39" i="1"/>
  <c r="BW40" i="1"/>
  <c r="BW41" i="1"/>
  <c r="BW42" i="1"/>
  <c r="BW43" i="1"/>
  <c r="BW44" i="1"/>
  <c r="BW47" i="1"/>
  <c r="BW48" i="1"/>
  <c r="BW49" i="1"/>
  <c r="BW50" i="1"/>
  <c r="BW51" i="1"/>
  <c r="BW52" i="1"/>
  <c r="BW53" i="1"/>
  <c r="BW54" i="1"/>
  <c r="AJ44" i="1"/>
  <c r="AJ43" i="1"/>
  <c r="AJ38" i="1"/>
  <c r="AJ39" i="1"/>
  <c r="AJ45" i="1"/>
  <c r="AJ42" i="1"/>
  <c r="AJ41" i="1"/>
  <c r="AJ40" i="1"/>
  <c r="AJ37" i="1"/>
  <c r="CF21" i="2" l="1"/>
  <c r="CD21" i="2"/>
  <c r="BV19" i="2"/>
  <c r="BZ20" i="2"/>
  <c r="BR18" i="2"/>
  <c r="BO17" i="2"/>
  <c r="BN17" i="2"/>
  <c r="BI16" i="2"/>
  <c r="BI15" i="2"/>
  <c r="L70" i="2"/>
  <c r="BI36" i="2" s="1"/>
  <c r="O70" i="2"/>
  <c r="BL36" i="2" s="1"/>
  <c r="BJ36" i="2"/>
  <c r="BA3" i="2"/>
  <c r="E15" i="2" s="1"/>
  <c r="BW16" i="1"/>
  <c r="BW17" i="1"/>
  <c r="BW18" i="1"/>
  <c r="BW19" i="1"/>
  <c r="BW20" i="1"/>
  <c r="BW21" i="1"/>
  <c r="BW22" i="1"/>
  <c r="BW23" i="1"/>
  <c r="BW24" i="1"/>
  <c r="AW47" i="1"/>
  <c r="AQ47" i="1" s="1"/>
  <c r="AT47" i="1" s="1"/>
  <c r="AX47" i="1"/>
  <c r="AW48" i="1"/>
  <c r="AQ48" i="1" s="1"/>
  <c r="AT48" i="1" s="1"/>
  <c r="AX48" i="1"/>
  <c r="AW49" i="1"/>
  <c r="AQ49" i="1" s="1"/>
  <c r="AT49" i="1" s="1"/>
  <c r="AX49" i="1"/>
  <c r="AW50" i="1"/>
  <c r="AQ50" i="1" s="1"/>
  <c r="AT50" i="1" s="1"/>
  <c r="AX50" i="1"/>
  <c r="AW51" i="1"/>
  <c r="AQ51" i="1" s="1"/>
  <c r="AT51" i="1" s="1"/>
  <c r="AX51" i="1"/>
  <c r="AW52" i="1"/>
  <c r="AQ52" i="1" s="1"/>
  <c r="AT52" i="1" s="1"/>
  <c r="AX52" i="1"/>
  <c r="AW53" i="1"/>
  <c r="AQ53" i="1" s="1"/>
  <c r="AT53" i="1" s="1"/>
  <c r="AX53" i="1"/>
  <c r="AW54" i="1"/>
  <c r="AQ54" i="1" s="1"/>
  <c r="AT54" i="1" s="1"/>
  <c r="AX54" i="1"/>
  <c r="AW38" i="1"/>
  <c r="AQ38" i="1" s="1"/>
  <c r="AT38" i="1" s="1"/>
  <c r="AX38" i="1"/>
  <c r="AW39" i="1"/>
  <c r="AQ39" i="1" s="1"/>
  <c r="AT39" i="1" s="1"/>
  <c r="AX39" i="1"/>
  <c r="AW40" i="1"/>
  <c r="AQ40" i="1" s="1"/>
  <c r="AT40" i="1" s="1"/>
  <c r="AX40" i="1"/>
  <c r="AW41" i="1"/>
  <c r="AQ41" i="1" s="1"/>
  <c r="AT41" i="1" s="1"/>
  <c r="AX41" i="1"/>
  <c r="AW42" i="1"/>
  <c r="AQ42" i="1" s="1"/>
  <c r="AT42" i="1" s="1"/>
  <c r="AX42" i="1"/>
  <c r="AW43" i="1"/>
  <c r="AQ43" i="1" s="1"/>
  <c r="AT43" i="1" s="1"/>
  <c r="AX43" i="1"/>
  <c r="AW44" i="1"/>
  <c r="AQ44" i="1" s="1"/>
  <c r="AT44" i="1" s="1"/>
  <c r="AX44" i="1"/>
  <c r="AW17" i="1"/>
  <c r="AQ17" i="1" s="1"/>
  <c r="AT17" i="1" s="1"/>
  <c r="AX17" i="1"/>
  <c r="AW18" i="1"/>
  <c r="AQ18" i="1" s="1"/>
  <c r="AT18" i="1" s="1"/>
  <c r="AX18" i="1"/>
  <c r="AW19" i="1"/>
  <c r="AQ19" i="1" s="1"/>
  <c r="AT19" i="1" s="1"/>
  <c r="AX19" i="1"/>
  <c r="AW20" i="1"/>
  <c r="AQ20" i="1" s="1"/>
  <c r="AT20" i="1" s="1"/>
  <c r="AX20" i="1"/>
  <c r="AW21" i="1"/>
  <c r="AQ21" i="1" s="1"/>
  <c r="AT21" i="1" s="1"/>
  <c r="AX21" i="1"/>
  <c r="AW22" i="1"/>
  <c r="AQ22" i="1" s="1"/>
  <c r="AT22" i="1" s="1"/>
  <c r="AX22" i="1"/>
  <c r="AW23" i="1"/>
  <c r="AQ23" i="1" s="1"/>
  <c r="AT23" i="1" s="1"/>
  <c r="AX23" i="1"/>
  <c r="AW24" i="1"/>
  <c r="AQ24" i="1" s="1"/>
  <c r="AT24" i="1" s="1"/>
  <c r="AX24" i="1"/>
  <c r="AB110" i="1"/>
  <c r="R109" i="1"/>
  <c r="I110" i="1"/>
  <c r="AA109" i="1"/>
  <c r="M104" i="1"/>
  <c r="AG109" i="1"/>
  <c r="AI104" i="1"/>
  <c r="Z109" i="1"/>
  <c r="J106" i="1"/>
  <c r="V105" i="1"/>
  <c r="AA108" i="1"/>
  <c r="Z104" i="1"/>
  <c r="AC108" i="1"/>
  <c r="AD105" i="1"/>
  <c r="M107" i="1"/>
  <c r="AC105" i="1"/>
  <c r="W109" i="1"/>
  <c r="AK107" i="1"/>
  <c r="AI105" i="1"/>
  <c r="Q105" i="1"/>
  <c r="AB106" i="1"/>
  <c r="AK106" i="1"/>
  <c r="Q104" i="1"/>
  <c r="AA105" i="1"/>
  <c r="P111" i="1"/>
  <c r="M111" i="1"/>
  <c r="W106" i="1"/>
  <c r="L106" i="1"/>
  <c r="AB109" i="1"/>
  <c r="U108" i="1"/>
  <c r="T105" i="1"/>
  <c r="V107" i="1"/>
  <c r="O107" i="1"/>
  <c r="R107" i="1"/>
  <c r="T107" i="1"/>
  <c r="AD111" i="1"/>
  <c r="O104" i="1"/>
  <c r="AE111" i="1"/>
  <c r="O111" i="1"/>
  <c r="AF108" i="1"/>
  <c r="AG110" i="1"/>
  <c r="P107" i="1"/>
  <c r="P109" i="1"/>
  <c r="AG108" i="1"/>
  <c r="L105" i="1"/>
  <c r="X109" i="1"/>
  <c r="AD109" i="1"/>
  <c r="AE104" i="1"/>
  <c r="L108" i="1"/>
  <c r="AK110" i="1"/>
  <c r="AC107" i="1"/>
  <c r="I104" i="1"/>
  <c r="AC110" i="1"/>
  <c r="J110" i="1"/>
  <c r="R106" i="1"/>
  <c r="Z108" i="1"/>
  <c r="X104" i="1"/>
  <c r="W107" i="1"/>
  <c r="R105" i="1"/>
  <c r="T108" i="1"/>
  <c r="Q110" i="1"/>
  <c r="AC109" i="1"/>
  <c r="L109" i="1"/>
  <c r="U111" i="1"/>
  <c r="AF104" i="1"/>
  <c r="V108" i="1"/>
  <c r="T111" i="1"/>
  <c r="I105" i="1"/>
  <c r="AE110" i="1"/>
  <c r="AF107" i="1"/>
  <c r="AG107" i="1"/>
  <c r="U106" i="1"/>
  <c r="L107" i="1"/>
  <c r="W105" i="1"/>
  <c r="AB104" i="1"/>
  <c r="AD104" i="1"/>
  <c r="Y109" i="1"/>
  <c r="X108" i="1"/>
  <c r="V104" i="1"/>
  <c r="X107" i="1"/>
  <c r="V110" i="1"/>
  <c r="AD108" i="1"/>
  <c r="AF111" i="1"/>
  <c r="AF109" i="1"/>
  <c r="I109" i="1"/>
  <c r="X111" i="1"/>
  <c r="AI110" i="1"/>
  <c r="Y111" i="1"/>
  <c r="AB108" i="1"/>
  <c r="L111" i="1"/>
  <c r="Y105" i="1"/>
  <c r="P110" i="1"/>
  <c r="P106" i="1"/>
  <c r="X110" i="1"/>
  <c r="AF110" i="1"/>
  <c r="AI106" i="1"/>
  <c r="U107" i="1"/>
  <c r="M106" i="1"/>
  <c r="V109" i="1"/>
  <c r="Y110" i="1"/>
  <c r="O106" i="1"/>
  <c r="Q108" i="1"/>
  <c r="W111" i="1"/>
  <c r="Y108" i="1"/>
  <c r="AB107" i="1"/>
  <c r="Z107" i="1"/>
  <c r="AF106" i="1"/>
  <c r="T106" i="1"/>
  <c r="I108" i="1"/>
  <c r="M105" i="1"/>
  <c r="AC111" i="1"/>
  <c r="AD110" i="1"/>
  <c r="M108" i="1"/>
  <c r="AF105" i="1"/>
  <c r="Z106" i="1"/>
  <c r="R104" i="1"/>
  <c r="T109" i="1"/>
  <c r="W104" i="1"/>
  <c r="T110" i="1"/>
  <c r="P105" i="1"/>
  <c r="AA107" i="1"/>
  <c r="L104" i="1"/>
  <c r="X105" i="1"/>
  <c r="L110" i="1"/>
  <c r="U104" i="1"/>
  <c r="AI107" i="1"/>
  <c r="M110" i="1"/>
  <c r="Q111" i="1"/>
  <c r="I107" i="1"/>
  <c r="U105" i="1"/>
  <c r="AK109" i="1"/>
  <c r="X106" i="1"/>
  <c r="AE106" i="1"/>
  <c r="AG106" i="1"/>
  <c r="AG104" i="1"/>
  <c r="AE108" i="1"/>
  <c r="O108" i="1"/>
  <c r="AB105" i="1"/>
  <c r="AA110" i="1"/>
  <c r="O109" i="1"/>
  <c r="AI111" i="1"/>
  <c r="J111" i="1"/>
  <c r="R110" i="1"/>
  <c r="AI109" i="1"/>
  <c r="M109" i="1"/>
  <c r="Z110" i="1"/>
  <c r="O110" i="1"/>
  <c r="AI108" i="1"/>
  <c r="R111" i="1"/>
  <c r="AG105" i="1"/>
  <c r="AB111" i="1"/>
  <c r="O105" i="1"/>
  <c r="AC104" i="1"/>
  <c r="Z111" i="1"/>
  <c r="AK105" i="1"/>
  <c r="Z105" i="1"/>
  <c r="I106" i="1"/>
  <c r="J104" i="1"/>
  <c r="AE107" i="1"/>
  <c r="AK104" i="1"/>
  <c r="I111" i="1"/>
  <c r="Y107" i="1"/>
  <c r="AE105" i="1"/>
  <c r="J109" i="1"/>
  <c r="AG111" i="1"/>
  <c r="AK108" i="1"/>
  <c r="J107" i="1"/>
  <c r="AE109" i="1"/>
  <c r="AK111" i="1"/>
  <c r="U110" i="1"/>
  <c r="R108" i="1"/>
  <c r="V111" i="1"/>
  <c r="Y106" i="1"/>
  <c r="T104" i="1"/>
  <c r="U109" i="1"/>
  <c r="AC106" i="1"/>
  <c r="J108" i="1"/>
  <c r="Q107" i="1"/>
  <c r="W108" i="1"/>
  <c r="Q106" i="1"/>
  <c r="W110" i="1"/>
  <c r="AA106" i="1"/>
  <c r="Q109" i="1"/>
  <c r="AA104" i="1"/>
  <c r="AD107" i="1"/>
  <c r="P108" i="1"/>
  <c r="AA111" i="1"/>
  <c r="AD106" i="1"/>
  <c r="P104" i="1"/>
  <c r="J105" i="1"/>
  <c r="Y104" i="1"/>
  <c r="V106" i="1"/>
  <c r="CB20" i="2" l="1"/>
  <c r="BX19" i="2"/>
  <c r="BT18" i="2"/>
  <c r="BQ17" i="2"/>
  <c r="BK16" i="2"/>
  <c r="BP17" i="2"/>
  <c r="BK15" i="2"/>
  <c r="O35" i="2"/>
  <c r="AX36" i="1"/>
  <c r="E14" i="2"/>
  <c r="E12" i="2"/>
  <c r="E18" i="2"/>
  <c r="E16" i="2"/>
  <c r="E20" i="2"/>
  <c r="E13" i="2"/>
  <c r="E19" i="2"/>
  <c r="E17" i="2"/>
  <c r="AW37" i="1"/>
  <c r="AQ37" i="1" s="1"/>
  <c r="AT37" i="1" s="1"/>
  <c r="AX37" i="1"/>
  <c r="BG47" i="1"/>
  <c r="BO47" i="1"/>
  <c r="BB48" i="1"/>
  <c r="BK48" i="1"/>
  <c r="BK49" i="1"/>
  <c r="BK50" i="1"/>
  <c r="BK51" i="1"/>
  <c r="BG53" i="1"/>
  <c r="BC47" i="1"/>
  <c r="BH47" i="1"/>
  <c r="BL47" i="1"/>
  <c r="BP47" i="1"/>
  <c r="BT47" i="1"/>
  <c r="BX47" i="1"/>
  <c r="BC48" i="1"/>
  <c r="BH48" i="1"/>
  <c r="BL48" i="1"/>
  <c r="BP48" i="1"/>
  <c r="BT48" i="1"/>
  <c r="BX48" i="1"/>
  <c r="BC49" i="1"/>
  <c r="BH49" i="1"/>
  <c r="BL49" i="1"/>
  <c r="BP49" i="1"/>
  <c r="BT49" i="1"/>
  <c r="BX49" i="1"/>
  <c r="BC50" i="1"/>
  <c r="BH50" i="1"/>
  <c r="BL50" i="1"/>
  <c r="BP50" i="1"/>
  <c r="BT50" i="1"/>
  <c r="BX50" i="1"/>
  <c r="BC51" i="1"/>
  <c r="BH51" i="1"/>
  <c r="BL51" i="1"/>
  <c r="BP51" i="1"/>
  <c r="BT51" i="1"/>
  <c r="BX51" i="1"/>
  <c r="BC52" i="1"/>
  <c r="BH52" i="1"/>
  <c r="BL52" i="1"/>
  <c r="BP52" i="1"/>
  <c r="BT52" i="1"/>
  <c r="BX52" i="1"/>
  <c r="BC53" i="1"/>
  <c r="BH53" i="1"/>
  <c r="BL53" i="1"/>
  <c r="BP53" i="1"/>
  <c r="BT53" i="1"/>
  <c r="BX53" i="1"/>
  <c r="BC54" i="1"/>
  <c r="BH54" i="1"/>
  <c r="BL54" i="1"/>
  <c r="BP54" i="1"/>
  <c r="BT54" i="1"/>
  <c r="BX54" i="1"/>
  <c r="BK47" i="1"/>
  <c r="BS47" i="1"/>
  <c r="BG48" i="1"/>
  <c r="BO48" i="1"/>
  <c r="BB49" i="1"/>
  <c r="BO49" i="1"/>
  <c r="BB50" i="1"/>
  <c r="BO50" i="1"/>
  <c r="BB51" i="1"/>
  <c r="BO51" i="1"/>
  <c r="BB52" i="1"/>
  <c r="BK52" i="1"/>
  <c r="BS52" i="1"/>
  <c r="BB53" i="1"/>
  <c r="BO53" i="1"/>
  <c r="BG54" i="1"/>
  <c r="BO54" i="1"/>
  <c r="BS54" i="1"/>
  <c r="AZ47" i="1"/>
  <c r="BF47" i="1"/>
  <c r="BJ47" i="1"/>
  <c r="BN47" i="1"/>
  <c r="BR47" i="1"/>
  <c r="BV47" i="1"/>
  <c r="AZ48" i="1"/>
  <c r="BF48" i="1"/>
  <c r="BJ48" i="1"/>
  <c r="BN48" i="1"/>
  <c r="BR48" i="1"/>
  <c r="BV48" i="1"/>
  <c r="AZ49" i="1"/>
  <c r="BF49" i="1"/>
  <c r="BJ49" i="1"/>
  <c r="BN49" i="1"/>
  <c r="BR49" i="1"/>
  <c r="BV49" i="1"/>
  <c r="AZ50" i="1"/>
  <c r="BF50" i="1"/>
  <c r="BJ50" i="1"/>
  <c r="BN50" i="1"/>
  <c r="BR50" i="1"/>
  <c r="BV50" i="1"/>
  <c r="AZ51" i="1"/>
  <c r="BF51" i="1"/>
  <c r="BJ51" i="1"/>
  <c r="BN51" i="1"/>
  <c r="BR51" i="1"/>
  <c r="BV51" i="1"/>
  <c r="AZ52" i="1"/>
  <c r="BF52" i="1"/>
  <c r="BJ52" i="1"/>
  <c r="BN52" i="1"/>
  <c r="BR52" i="1"/>
  <c r="BV52" i="1"/>
  <c r="AZ53" i="1"/>
  <c r="BF53" i="1"/>
  <c r="BJ53" i="1"/>
  <c r="BN53" i="1"/>
  <c r="BR53" i="1"/>
  <c r="BV53" i="1"/>
  <c r="AZ54" i="1"/>
  <c r="BF54" i="1"/>
  <c r="BJ54" i="1"/>
  <c r="BN54" i="1"/>
  <c r="BR54" i="1"/>
  <c r="BV54" i="1"/>
  <c r="BB47" i="1"/>
  <c r="BS48" i="1"/>
  <c r="BG49" i="1"/>
  <c r="BS49" i="1"/>
  <c r="BG50" i="1"/>
  <c r="BS50" i="1"/>
  <c r="BG51" i="1"/>
  <c r="BS51" i="1"/>
  <c r="BG52" i="1"/>
  <c r="BO52" i="1"/>
  <c r="BK53" i="1"/>
  <c r="BS53" i="1"/>
  <c r="BB54" i="1"/>
  <c r="BK54" i="1"/>
  <c r="AY47" i="1"/>
  <c r="BE47" i="1"/>
  <c r="BI47" i="1"/>
  <c r="BM47" i="1"/>
  <c r="BQ47" i="1"/>
  <c r="BU47" i="1"/>
  <c r="AY48" i="1"/>
  <c r="BE48" i="1"/>
  <c r="BI48" i="1"/>
  <c r="BM48" i="1"/>
  <c r="BQ48" i="1"/>
  <c r="BU48" i="1"/>
  <c r="AY49" i="1"/>
  <c r="BE49" i="1"/>
  <c r="BI49" i="1"/>
  <c r="BM49" i="1"/>
  <c r="BQ49" i="1"/>
  <c r="BU49" i="1"/>
  <c r="AY50" i="1"/>
  <c r="BE50" i="1"/>
  <c r="BI50" i="1"/>
  <c r="BM50" i="1"/>
  <c r="BQ50" i="1"/>
  <c r="BU50" i="1"/>
  <c r="AY51" i="1"/>
  <c r="BE51" i="1"/>
  <c r="BI51" i="1"/>
  <c r="BM51" i="1"/>
  <c r="BQ51" i="1"/>
  <c r="BU51" i="1"/>
  <c r="AY52" i="1"/>
  <c r="BE52" i="1"/>
  <c r="BI52" i="1"/>
  <c r="BM52" i="1"/>
  <c r="BQ52" i="1"/>
  <c r="BU52" i="1"/>
  <c r="AY53" i="1"/>
  <c r="BE53" i="1"/>
  <c r="BI53" i="1"/>
  <c r="BM53" i="1"/>
  <c r="BQ53" i="1"/>
  <c r="BU53" i="1"/>
  <c r="AY54" i="1"/>
  <c r="BE54" i="1"/>
  <c r="BI54" i="1"/>
  <c r="BM54" i="1"/>
  <c r="BQ54" i="1"/>
  <c r="BU54" i="1"/>
  <c r="N111" i="1"/>
  <c r="BD54" i="1" s="1"/>
  <c r="AJ60" i="1"/>
  <c r="AJ80" i="1"/>
  <c r="AJ103" i="1"/>
  <c r="AJ102" i="1"/>
  <c r="AJ58" i="1"/>
  <c r="AJ59" i="1"/>
  <c r="AJ36" i="1"/>
  <c r="AJ81" i="1"/>
  <c r="H13" i="2" l="1"/>
  <c r="L13" i="2"/>
  <c r="L27" i="2" s="1"/>
  <c r="I13" i="2"/>
  <c r="M13" i="2"/>
  <c r="M27" i="2" s="1"/>
  <c r="AL13" i="2"/>
  <c r="AL27" i="2" s="1"/>
  <c r="AQ13" i="2"/>
  <c r="F13" i="2"/>
  <c r="J13" i="2"/>
  <c r="J27" i="2" s="1"/>
  <c r="N13" i="2"/>
  <c r="N27" i="2" s="1"/>
  <c r="G13" i="2"/>
  <c r="K13" i="2"/>
  <c r="K27" i="2" s="1"/>
  <c r="H3" i="3" s="1"/>
  <c r="AO13" i="2"/>
  <c r="AO27" i="2" s="1"/>
  <c r="H14" i="2"/>
  <c r="L14" i="2"/>
  <c r="AS14" i="2" s="1"/>
  <c r="P14" i="2"/>
  <c r="T14" i="2"/>
  <c r="Y14" i="2"/>
  <c r="AC14" i="2"/>
  <c r="AK14" i="2"/>
  <c r="AP14" i="2"/>
  <c r="I14" i="2"/>
  <c r="Q14" i="2"/>
  <c r="AQ14" i="2"/>
  <c r="J14" i="2"/>
  <c r="N14" i="2"/>
  <c r="W14" i="2"/>
  <c r="AA14" i="2"/>
  <c r="AI14" i="2"/>
  <c r="G14" i="2"/>
  <c r="K14" i="2"/>
  <c r="O14" i="2"/>
  <c r="S14" i="2"/>
  <c r="AO14" i="2"/>
  <c r="M14" i="2"/>
  <c r="AL14" i="2"/>
  <c r="F14" i="2"/>
  <c r="R14" i="2"/>
  <c r="AE14" i="2"/>
  <c r="AN14" i="2"/>
  <c r="AL19" i="2"/>
  <c r="AP19" i="2"/>
  <c r="AL16" i="2"/>
  <c r="AP16" i="2"/>
  <c r="AL17" i="2"/>
  <c r="AP17" i="2"/>
  <c r="AL15" i="2"/>
  <c r="AP15" i="2"/>
  <c r="AL20" i="2"/>
  <c r="AP20" i="2"/>
  <c r="AL12" i="2"/>
  <c r="AP12" i="2"/>
  <c r="AL18" i="2"/>
  <c r="AP18" i="2"/>
  <c r="BV18" i="2"/>
  <c r="CF20" i="2"/>
  <c r="CD20" i="2"/>
  <c r="BZ19" i="2"/>
  <c r="BR17" i="2"/>
  <c r="V14" i="2" s="1"/>
  <c r="BL16" i="2"/>
  <c r="O13" i="2" s="1"/>
  <c r="O27" i="2" s="1"/>
  <c r="BM15" i="2"/>
  <c r="P12" i="2" s="1"/>
  <c r="BL15" i="2"/>
  <c r="O12" i="2" s="1"/>
  <c r="H19" i="2"/>
  <c r="L19" i="2"/>
  <c r="AS19" i="2" s="1"/>
  <c r="P19" i="2"/>
  <c r="T19" i="2"/>
  <c r="Y19" i="2"/>
  <c r="AC19" i="2"/>
  <c r="AK19" i="2"/>
  <c r="K19" i="2"/>
  <c r="O19" i="2"/>
  <c r="S19" i="2"/>
  <c r="X19" i="2"/>
  <c r="AB19" i="2"/>
  <c r="AF19" i="2"/>
  <c r="AJ19" i="2"/>
  <c r="AQ19" i="2"/>
  <c r="J19" i="2"/>
  <c r="N19" i="2"/>
  <c r="R19" i="2"/>
  <c r="W19" i="2"/>
  <c r="AA19" i="2"/>
  <c r="AE19" i="2"/>
  <c r="AI19" i="2"/>
  <c r="AO19" i="2"/>
  <c r="I19" i="2"/>
  <c r="M19" i="2"/>
  <c r="Q19" i="2"/>
  <c r="V19" i="2"/>
  <c r="Z19" i="2"/>
  <c r="AD19" i="2"/>
  <c r="AH19" i="2"/>
  <c r="AN19" i="2"/>
  <c r="G16" i="2"/>
  <c r="H16" i="2"/>
  <c r="L16" i="2"/>
  <c r="P16" i="2"/>
  <c r="T16" i="2"/>
  <c r="Y16" i="2"/>
  <c r="AC16" i="2"/>
  <c r="AK16" i="2"/>
  <c r="K16" i="2"/>
  <c r="O16" i="2"/>
  <c r="S16" i="2"/>
  <c r="X16" i="2"/>
  <c r="AB16" i="2"/>
  <c r="AF16" i="2"/>
  <c r="AJ16" i="2"/>
  <c r="AQ16" i="2"/>
  <c r="J16" i="2"/>
  <c r="N16" i="2"/>
  <c r="R16" i="2"/>
  <c r="W16" i="2"/>
  <c r="AA16" i="2"/>
  <c r="AE16" i="2"/>
  <c r="AI16" i="2"/>
  <c r="AO16" i="2"/>
  <c r="I16" i="2"/>
  <c r="M16" i="2"/>
  <c r="Q16" i="2"/>
  <c r="V16" i="2"/>
  <c r="Z16" i="2"/>
  <c r="AD16" i="2"/>
  <c r="AH16" i="2"/>
  <c r="AN16" i="2"/>
  <c r="H17" i="2"/>
  <c r="L17" i="2"/>
  <c r="P17" i="2"/>
  <c r="T17" i="2"/>
  <c r="Y17" i="2"/>
  <c r="AC17" i="2"/>
  <c r="AK17" i="2"/>
  <c r="K17" i="2"/>
  <c r="O17" i="2"/>
  <c r="S17" i="2"/>
  <c r="X17" i="2"/>
  <c r="AB17" i="2"/>
  <c r="AF17" i="2"/>
  <c r="AJ17" i="2"/>
  <c r="AQ17" i="2"/>
  <c r="J17" i="2"/>
  <c r="N17" i="2"/>
  <c r="R17" i="2"/>
  <c r="W17" i="2"/>
  <c r="AA17" i="2"/>
  <c r="AE17" i="2"/>
  <c r="AI17" i="2"/>
  <c r="AO17" i="2"/>
  <c r="I17" i="2"/>
  <c r="M17" i="2"/>
  <c r="Q17" i="2"/>
  <c r="V17" i="2"/>
  <c r="Z17" i="2"/>
  <c r="AD17" i="2"/>
  <c r="AH17" i="2"/>
  <c r="AN17" i="2"/>
  <c r="H15" i="2"/>
  <c r="L15" i="2"/>
  <c r="P15" i="2"/>
  <c r="T15" i="2"/>
  <c r="Y15" i="2"/>
  <c r="AC15" i="2"/>
  <c r="AK15" i="2"/>
  <c r="K15" i="2"/>
  <c r="O15" i="2"/>
  <c r="S15" i="2"/>
  <c r="X15" i="2"/>
  <c r="AB15" i="2"/>
  <c r="AF15" i="2"/>
  <c r="AJ15" i="2"/>
  <c r="AQ15" i="2"/>
  <c r="J15" i="2"/>
  <c r="N15" i="2"/>
  <c r="R15" i="2"/>
  <c r="W15" i="2"/>
  <c r="AA15" i="2"/>
  <c r="AE15" i="2"/>
  <c r="AI15" i="2"/>
  <c r="AO15" i="2"/>
  <c r="I15" i="2"/>
  <c r="M15" i="2"/>
  <c r="Q15" i="2"/>
  <c r="V15" i="2"/>
  <c r="Z15" i="2"/>
  <c r="AD15" i="2"/>
  <c r="AH15" i="2"/>
  <c r="AN15" i="2"/>
  <c r="H20" i="2"/>
  <c r="L20" i="2"/>
  <c r="AS20" i="2" s="1"/>
  <c r="P20" i="2"/>
  <c r="T20" i="2"/>
  <c r="Y20" i="2"/>
  <c r="AC20" i="2"/>
  <c r="AK20" i="2"/>
  <c r="K20" i="2"/>
  <c r="O20" i="2"/>
  <c r="S20" i="2"/>
  <c r="X20" i="2"/>
  <c r="AB20" i="2"/>
  <c r="AF20" i="2"/>
  <c r="AJ20" i="2"/>
  <c r="AQ20" i="2"/>
  <c r="J20" i="2"/>
  <c r="N20" i="2"/>
  <c r="R20" i="2"/>
  <c r="W20" i="2"/>
  <c r="AA20" i="2"/>
  <c r="AE20" i="2"/>
  <c r="AI20" i="2"/>
  <c r="AO20" i="2"/>
  <c r="I20" i="2"/>
  <c r="M20" i="2"/>
  <c r="Q20" i="2"/>
  <c r="V20" i="2"/>
  <c r="Z20" i="2"/>
  <c r="AD20" i="2"/>
  <c r="AH20" i="2"/>
  <c r="AN20" i="2"/>
  <c r="G18" i="2"/>
  <c r="H18" i="2"/>
  <c r="L18" i="2"/>
  <c r="AS18" i="2" s="1"/>
  <c r="P18" i="2"/>
  <c r="T18" i="2"/>
  <c r="Y18" i="2"/>
  <c r="AC18" i="2"/>
  <c r="AK18" i="2"/>
  <c r="K18" i="2"/>
  <c r="O18" i="2"/>
  <c r="S18" i="2"/>
  <c r="X18" i="2"/>
  <c r="AB18" i="2"/>
  <c r="AF18" i="2"/>
  <c r="AJ18" i="2"/>
  <c r="AQ18" i="2"/>
  <c r="J18" i="2"/>
  <c r="N18" i="2"/>
  <c r="R18" i="2"/>
  <c r="W18" i="2"/>
  <c r="AA18" i="2"/>
  <c r="AE18" i="2"/>
  <c r="AI18" i="2"/>
  <c r="AO18" i="2"/>
  <c r="I18" i="2"/>
  <c r="M18" i="2"/>
  <c r="Q18" i="2"/>
  <c r="V18" i="2"/>
  <c r="Z18" i="2"/>
  <c r="AD18" i="2"/>
  <c r="AH18" i="2"/>
  <c r="AN18" i="2"/>
  <c r="CL31" i="2"/>
  <c r="CL32" i="2"/>
  <c r="CL33" i="2"/>
  <c r="G17" i="2"/>
  <c r="I12" i="2"/>
  <c r="H12" i="2"/>
  <c r="G12" i="2"/>
  <c r="AQ12" i="2"/>
  <c r="AO12" i="2"/>
  <c r="F15" i="2"/>
  <c r="G15" i="2"/>
  <c r="F16" i="2"/>
  <c r="F17" i="2"/>
  <c r="F18" i="2"/>
  <c r="J12" i="2"/>
  <c r="N12" i="2"/>
  <c r="W12" i="2"/>
  <c r="AA12" i="2"/>
  <c r="AE12" i="2"/>
  <c r="AI12" i="2"/>
  <c r="M12" i="2"/>
  <c r="AN12" i="2"/>
  <c r="L12" i="2"/>
  <c r="Y12" i="2"/>
  <c r="AC12" i="2"/>
  <c r="AK12" i="2"/>
  <c r="F12" i="2"/>
  <c r="K12" i="2"/>
  <c r="F19" i="2"/>
  <c r="G19" i="2"/>
  <c r="F20" i="2"/>
  <c r="CG33" i="2"/>
  <c r="CI33" i="2"/>
  <c r="CK33" i="2"/>
  <c r="CF33" i="2"/>
  <c r="CE33" i="2"/>
  <c r="BT33" i="2"/>
  <c r="BU33" i="2"/>
  <c r="BH33" i="2"/>
  <c r="BR33" i="2"/>
  <c r="BW33" i="2"/>
  <c r="CA33" i="2"/>
  <c r="BZ33" i="2"/>
  <c r="BX33" i="2"/>
  <c r="BY33" i="2"/>
  <c r="BG33" i="2"/>
  <c r="BI33" i="2"/>
  <c r="BV33" i="2"/>
  <c r="BL33" i="2"/>
  <c r="BJ33" i="2"/>
  <c r="BO33" i="2"/>
  <c r="CB33" i="2"/>
  <c r="CC33" i="2"/>
  <c r="BM33" i="2"/>
  <c r="BK33" i="2"/>
  <c r="BP33" i="2"/>
  <c r="CD33" i="2"/>
  <c r="BN33" i="2"/>
  <c r="BS33" i="2"/>
  <c r="BW27" i="1"/>
  <c r="CK32" i="2"/>
  <c r="CI32" i="2"/>
  <c r="CE32" i="2"/>
  <c r="CG32" i="2"/>
  <c r="CF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P32" i="2"/>
  <c r="BO32" i="2"/>
  <c r="BN32" i="2"/>
  <c r="BM32" i="2"/>
  <c r="BK32" i="2"/>
  <c r="BL32" i="2"/>
  <c r="BJ32" i="2"/>
  <c r="BH32" i="2"/>
  <c r="BI32" i="2"/>
  <c r="BG32" i="2"/>
  <c r="CE16" i="2"/>
  <c r="AI13" i="2" s="1"/>
  <c r="AI27" i="2" s="1"/>
  <c r="CI16" i="2"/>
  <c r="AN13" i="2" s="1"/>
  <c r="AN27" i="2" s="1"/>
  <c r="CK16" i="2"/>
  <c r="AP13" i="2" s="1"/>
  <c r="AP27" i="2" s="1"/>
  <c r="CG16" i="2"/>
  <c r="AK13" i="2" s="1"/>
  <c r="AK27" i="2" s="1"/>
  <c r="CC16" i="2"/>
  <c r="AG27" i="2" s="1"/>
  <c r="CA16" i="2"/>
  <c r="AE13" i="2" s="1"/>
  <c r="AE27" i="2" s="1"/>
  <c r="BY16" i="2"/>
  <c r="AC13" i="2" s="1"/>
  <c r="AC27" i="2" s="1"/>
  <c r="BW16" i="2"/>
  <c r="AA13" i="2" s="1"/>
  <c r="AA27" i="2" s="1"/>
  <c r="BU16" i="2"/>
  <c r="Y13" i="2" s="1"/>
  <c r="Y27" i="2" s="1"/>
  <c r="BS16" i="2"/>
  <c r="W13" i="2" s="1"/>
  <c r="W27" i="2" s="1"/>
  <c r="BM16" i="2"/>
  <c r="P13" i="2" s="1"/>
  <c r="P27" i="2" s="1"/>
  <c r="CK31" i="2"/>
  <c r="CI31" i="2"/>
  <c r="CE31" i="2"/>
  <c r="CG31" i="2"/>
  <c r="CF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P31" i="2"/>
  <c r="BO31" i="2"/>
  <c r="BN31" i="2"/>
  <c r="BM31" i="2"/>
  <c r="BK31" i="2"/>
  <c r="BJ31" i="2"/>
  <c r="BL31" i="2"/>
  <c r="BH31" i="2"/>
  <c r="BI31" i="2"/>
  <c r="BG31" i="2"/>
  <c r="G20" i="2"/>
  <c r="BW26" i="1"/>
  <c r="BW15" i="1"/>
  <c r="BW35" i="1"/>
  <c r="BW46" i="1"/>
  <c r="BW36" i="1"/>
  <c r="BW25" i="1"/>
  <c r="BW45" i="1"/>
  <c r="AW36" i="1"/>
  <c r="AQ36" i="1" s="1"/>
  <c r="AT36" i="1" s="1"/>
  <c r="K111" i="1"/>
  <c r="BA54" i="1" s="1"/>
  <c r="P21" i="2" l="1"/>
  <c r="P26" i="2" s="1"/>
  <c r="D8" i="3"/>
  <c r="D3" i="3"/>
  <c r="U14" i="2"/>
  <c r="H24" i="2"/>
  <c r="X24" i="2"/>
  <c r="AL21" i="2"/>
  <c r="AL26" i="2" s="1"/>
  <c r="AO21" i="2"/>
  <c r="AO26" i="2" s="1"/>
  <c r="M21" i="2"/>
  <c r="M26" i="2" s="1"/>
  <c r="O24" i="2"/>
  <c r="V24" i="2"/>
  <c r="J24" i="2"/>
  <c r="K24" i="2"/>
  <c r="T24" i="2"/>
  <c r="N24" i="2"/>
  <c r="M24" i="2"/>
  <c r="I24" i="2"/>
  <c r="CB19" i="2"/>
  <c r="BX18" i="2"/>
  <c r="BN16" i="2"/>
  <c r="Q13" i="2" s="1"/>
  <c r="Q27" i="2" s="1"/>
  <c r="BT17" i="2"/>
  <c r="X14" i="2" s="1"/>
  <c r="BO16" i="2"/>
  <c r="R13" i="2" s="1"/>
  <c r="R27" i="2" s="1"/>
  <c r="U18" i="2"/>
  <c r="BO15" i="2"/>
  <c r="R12" i="2" s="1"/>
  <c r="AM18" i="2"/>
  <c r="BN15" i="2"/>
  <c r="Q12" i="2" s="1"/>
  <c r="AM16" i="2"/>
  <c r="U16" i="2"/>
  <c r="U20" i="2"/>
  <c r="AM20" i="2"/>
  <c r="U15" i="2"/>
  <c r="AM15" i="2"/>
  <c r="U19" i="2"/>
  <c r="AM19" i="2"/>
  <c r="U17" i="2"/>
  <c r="AM17" i="2"/>
  <c r="AQ21" i="2"/>
  <c r="K21" i="2"/>
  <c r="K26" i="2" s="1"/>
  <c r="O21" i="2"/>
  <c r="O26" i="2" s="1"/>
  <c r="J21" i="2"/>
  <c r="J26" i="2" s="1"/>
  <c r="N21" i="2"/>
  <c r="N26" i="2" s="1"/>
  <c r="AC21" i="2"/>
  <c r="AC26" i="2" s="1"/>
  <c r="AI21" i="2"/>
  <c r="AI26" i="2" s="1"/>
  <c r="AG21" i="2"/>
  <c r="AG26" i="2" s="1"/>
  <c r="W21" i="2"/>
  <c r="W26" i="2" s="1"/>
  <c r="AK21" i="2"/>
  <c r="AK26" i="2" s="1"/>
  <c r="AA21" i="2"/>
  <c r="AA26" i="2" s="1"/>
  <c r="C8" i="3" s="1"/>
  <c r="Y21" i="2"/>
  <c r="Y26" i="2" s="1"/>
  <c r="AN21" i="2"/>
  <c r="AN26" i="2" s="1"/>
  <c r="AE21" i="2"/>
  <c r="AE26" i="2" s="1"/>
  <c r="AS16" i="2"/>
  <c r="AS15" i="2"/>
  <c r="D18" i="3"/>
  <c r="D5" i="3"/>
  <c r="D16" i="3"/>
  <c r="D7" i="3"/>
  <c r="D10" i="3"/>
  <c r="D17" i="3"/>
  <c r="D11" i="3"/>
  <c r="G3" i="3"/>
  <c r="L21" i="2"/>
  <c r="AS36" i="2"/>
  <c r="AS17" i="2"/>
  <c r="AS12" i="2"/>
  <c r="N110" i="1"/>
  <c r="BD53" i="1" s="1"/>
  <c r="D13" i="3" l="1"/>
  <c r="AS21" i="2"/>
  <c r="L26" i="2"/>
  <c r="G4" i="3"/>
  <c r="H4" i="3"/>
  <c r="L24" i="2"/>
  <c r="Q21" i="2"/>
  <c r="Q26" i="2" s="1"/>
  <c r="R21" i="2"/>
  <c r="R26" i="2" s="1"/>
  <c r="C13" i="3" s="1"/>
  <c r="CF19" i="2"/>
  <c r="CD19" i="2"/>
  <c r="BZ18" i="2"/>
  <c r="BP15" i="2"/>
  <c r="S12" i="2" s="1"/>
  <c r="BQ16" i="2"/>
  <c r="T13" i="2" s="1"/>
  <c r="T27" i="2" s="1"/>
  <c r="BP16" i="2"/>
  <c r="S13" i="2" s="1"/>
  <c r="S27" i="2" s="1"/>
  <c r="BV17" i="2"/>
  <c r="Z14" i="2" s="1"/>
  <c r="BQ15" i="2"/>
  <c r="T12" i="2" s="1"/>
  <c r="C7" i="3"/>
  <c r="C11" i="3"/>
  <c r="C5" i="3"/>
  <c r="C3" i="3"/>
  <c r="C17" i="3"/>
  <c r="C16" i="3"/>
  <c r="C10" i="3"/>
  <c r="C18" i="3"/>
  <c r="AS13" i="2"/>
  <c r="K110" i="1"/>
  <c r="BA53" i="1" s="1"/>
  <c r="U13" i="2" l="1"/>
  <c r="U27" i="2" s="1"/>
  <c r="CB18" i="2"/>
  <c r="BX17" i="2"/>
  <c r="AB14" i="2" s="1"/>
  <c r="BR16" i="2"/>
  <c r="V13" i="2" s="1"/>
  <c r="V27" i="2" s="1"/>
  <c r="U12" i="2"/>
  <c r="S21" i="2"/>
  <c r="S26" i="2" s="1"/>
  <c r="T21" i="2"/>
  <c r="T26" i="2" s="1"/>
  <c r="BR15" i="2"/>
  <c r="V12" i="2" s="1"/>
  <c r="N109" i="1"/>
  <c r="BD52" i="1" s="1"/>
  <c r="D4" i="3" l="1"/>
  <c r="P24" i="2"/>
  <c r="CF18" i="2"/>
  <c r="CD18" i="2"/>
  <c r="BT16" i="2"/>
  <c r="X13" i="2" s="1"/>
  <c r="X27" i="2" s="1"/>
  <c r="BZ17" i="2"/>
  <c r="AD14" i="2" s="1"/>
  <c r="V21" i="2"/>
  <c r="V26" i="2" s="1"/>
  <c r="C4" i="3" s="1"/>
  <c r="U21" i="2"/>
  <c r="U26" i="2" s="1"/>
  <c r="BT15" i="2"/>
  <c r="X12" i="2" s="1"/>
  <c r="K109" i="1"/>
  <c r="BA52" i="1" s="1"/>
  <c r="D20" i="3" l="1"/>
  <c r="X21" i="2"/>
  <c r="X26" i="2" s="1"/>
  <c r="C20" i="3" s="1"/>
  <c r="CB17" i="2"/>
  <c r="AF14" i="2" s="1"/>
  <c r="BV16" i="2"/>
  <c r="Z13" i="2" s="1"/>
  <c r="Z27" i="2" s="1"/>
  <c r="BV15" i="2"/>
  <c r="Z12" i="2" s="1"/>
  <c r="N108" i="1"/>
  <c r="BD51" i="1" s="1"/>
  <c r="D12" i="3" l="1"/>
  <c r="Z21" i="2"/>
  <c r="Z26" i="2" s="1"/>
  <c r="C12" i="3" s="1"/>
  <c r="CD17" i="2"/>
  <c r="AH14" i="2" s="1"/>
  <c r="BX16" i="2"/>
  <c r="AB13" i="2" s="1"/>
  <c r="AB27" i="2" s="1"/>
  <c r="BX15" i="2"/>
  <c r="AB12" i="2" s="1"/>
  <c r="K108" i="1"/>
  <c r="BA51" i="1" s="1"/>
  <c r="D9" i="3" l="1"/>
  <c r="AB21" i="2"/>
  <c r="AB26" i="2" s="1"/>
  <c r="C9" i="3" s="1"/>
  <c r="BZ16" i="2"/>
  <c r="AD13" i="2" s="1"/>
  <c r="AD27" i="2" s="1"/>
  <c r="CF17" i="2"/>
  <c r="AJ14" i="2" s="1"/>
  <c r="AM14" i="2" s="1"/>
  <c r="BZ15" i="2"/>
  <c r="AD12" i="2" s="1"/>
  <c r="N107" i="1"/>
  <c r="BD50" i="1" s="1"/>
  <c r="D6" i="3" l="1"/>
  <c r="AD21" i="2"/>
  <c r="AD26" i="2" s="1"/>
  <c r="C6" i="3" s="1"/>
  <c r="CB16" i="2"/>
  <c r="AF13" i="2" s="1"/>
  <c r="AF27" i="2" s="1"/>
  <c r="CB15" i="2"/>
  <c r="AF12" i="2" s="1"/>
  <c r="K107" i="1"/>
  <c r="BA50" i="1" s="1"/>
  <c r="D19" i="3" l="1"/>
  <c r="AF21" i="2"/>
  <c r="AF26" i="2" s="1"/>
  <c r="C19" i="3" s="1"/>
  <c r="CD16" i="2"/>
  <c r="AH13" i="2" s="1"/>
  <c r="AH27" i="2" s="1"/>
  <c r="CD15" i="2"/>
  <c r="AH12" i="2" s="1"/>
  <c r="N106" i="1"/>
  <c r="BD49" i="1" s="1"/>
  <c r="D14" i="3" l="1"/>
  <c r="CF15" i="2"/>
  <c r="AJ12" i="2" s="1"/>
  <c r="CF16" i="2"/>
  <c r="AJ13" i="2" s="1"/>
  <c r="AH21" i="2"/>
  <c r="AH26" i="2" s="1"/>
  <c r="C14" i="3" s="1"/>
  <c r="K106" i="1"/>
  <c r="BA49" i="1" s="1"/>
  <c r="AM13" i="2" l="1"/>
  <c r="AM27" i="2" s="1"/>
  <c r="AJ27" i="2"/>
  <c r="D15" i="3" s="1"/>
  <c r="AJ21" i="2"/>
  <c r="AJ26" i="2" s="1"/>
  <c r="C15" i="3" s="1"/>
  <c r="AM12" i="2"/>
  <c r="N105" i="1"/>
  <c r="BD48" i="1" s="1"/>
  <c r="AM21" i="2" l="1"/>
  <c r="AM26" i="2" s="1"/>
  <c r="R24" i="2"/>
  <c r="K105" i="1"/>
  <c r="BA48" i="1" s="1"/>
  <c r="N104" i="1" l="1"/>
  <c r="BD47" i="1" s="1"/>
  <c r="K104" i="1" l="1"/>
  <c r="BA47" i="1" s="1"/>
  <c r="AC84" i="1"/>
  <c r="P87" i="1"/>
  <c r="AD85" i="1"/>
  <c r="Q89" i="1"/>
  <c r="L86" i="1"/>
  <c r="AC82" i="1"/>
  <c r="AI89" i="1"/>
  <c r="Q84" i="1"/>
  <c r="AB85" i="1"/>
  <c r="W82" i="1"/>
  <c r="Z88" i="1"/>
  <c r="T85" i="1"/>
  <c r="AF86" i="1"/>
  <c r="Z82" i="1"/>
  <c r="L82" i="1"/>
  <c r="P83" i="1"/>
  <c r="J87" i="1"/>
  <c r="AK85" i="1"/>
  <c r="AG83" i="1"/>
  <c r="AB87" i="1"/>
  <c r="Y81" i="1"/>
  <c r="T89" i="1"/>
  <c r="L83" i="1"/>
  <c r="V88" i="1"/>
  <c r="O89" i="1"/>
  <c r="AG84" i="1"/>
  <c r="AC85" i="1"/>
  <c r="AE85" i="1"/>
  <c r="Q88" i="1"/>
  <c r="W88" i="1"/>
  <c r="L85" i="1"/>
  <c r="O87" i="1"/>
  <c r="W86" i="1"/>
  <c r="AD87" i="1"/>
  <c r="J82" i="1"/>
  <c r="Y88" i="1"/>
  <c r="I83" i="1"/>
  <c r="AC89" i="1"/>
  <c r="AI87" i="1"/>
  <c r="AB84" i="1"/>
  <c r="AK84" i="1"/>
  <c r="AE84" i="1"/>
  <c r="W87" i="1"/>
  <c r="Z86" i="1"/>
  <c r="J84" i="1"/>
  <c r="AF85" i="1"/>
  <c r="P88" i="1"/>
  <c r="R87" i="1"/>
  <c r="J85" i="1"/>
  <c r="M84" i="1"/>
  <c r="O82" i="1"/>
  <c r="W81" i="1"/>
  <c r="AG86" i="1"/>
  <c r="R86" i="1"/>
  <c r="M89" i="1"/>
  <c r="AD81" i="1"/>
  <c r="AD83" i="1"/>
  <c r="O84" i="1"/>
  <c r="W85" i="1"/>
  <c r="P82" i="1"/>
  <c r="AK83" i="1"/>
  <c r="P84" i="1"/>
  <c r="AF88" i="1"/>
  <c r="P86" i="1"/>
  <c r="I81" i="1"/>
  <c r="AF83" i="1"/>
  <c r="I86" i="1"/>
  <c r="J89" i="1"/>
  <c r="W83" i="1"/>
  <c r="AB86" i="1"/>
  <c r="T83" i="1"/>
  <c r="O88" i="1"/>
  <c r="W84" i="1"/>
  <c r="Y84" i="1"/>
  <c r="J83" i="1"/>
  <c r="AC86" i="1"/>
  <c r="AK89" i="1"/>
  <c r="Q86" i="1"/>
  <c r="AK87" i="1"/>
  <c r="V86" i="1"/>
  <c r="U81" i="1"/>
  <c r="U83" i="1"/>
  <c r="J86" i="1"/>
  <c r="U87" i="1"/>
  <c r="U86" i="1"/>
  <c r="AI88" i="1"/>
  <c r="P85" i="1"/>
  <c r="AE88" i="1"/>
  <c r="W89" i="1"/>
  <c r="AG82" i="1"/>
  <c r="AB82" i="1"/>
  <c r="AG89" i="1"/>
  <c r="V89" i="1"/>
  <c r="I82" i="1"/>
  <c r="AK86" i="1"/>
  <c r="X82" i="1"/>
  <c r="Y83" i="1"/>
  <c r="Y82" i="1"/>
  <c r="AC88" i="1"/>
  <c r="X83" i="1"/>
  <c r="Z87" i="1"/>
  <c r="Q83" i="1"/>
  <c r="X85" i="1"/>
  <c r="AI81" i="1"/>
  <c r="O86" i="1"/>
  <c r="AG81" i="1"/>
  <c r="Z81" i="1"/>
  <c r="U88" i="1"/>
  <c r="AF89" i="1"/>
  <c r="X87" i="1"/>
  <c r="V83" i="1"/>
  <c r="Q85" i="1"/>
  <c r="AE83" i="1"/>
  <c r="Y85" i="1"/>
  <c r="T81" i="1"/>
  <c r="AI86" i="1"/>
  <c r="AG87" i="1"/>
  <c r="R83" i="1"/>
  <c r="AI84" i="1"/>
  <c r="M85" i="1"/>
  <c r="R81" i="1"/>
  <c r="AB89" i="1"/>
  <c r="AI82" i="1"/>
  <c r="R85" i="1"/>
  <c r="AK81" i="1"/>
  <c r="O81" i="1"/>
  <c r="M88" i="1"/>
  <c r="AF81" i="1"/>
  <c r="AF82" i="1"/>
  <c r="AE87" i="1"/>
  <c r="R82" i="1"/>
  <c r="Y87" i="1"/>
  <c r="AE81" i="1"/>
  <c r="L84" i="1"/>
  <c r="AA87" i="1"/>
  <c r="M86" i="1"/>
  <c r="L87" i="1"/>
  <c r="V84" i="1"/>
  <c r="R88" i="1"/>
  <c r="AA86" i="1"/>
  <c r="Q82" i="1"/>
  <c r="AD86" i="1"/>
  <c r="AA83" i="1"/>
  <c r="Q81" i="1"/>
  <c r="AA81" i="1"/>
  <c r="AC81" i="1"/>
  <c r="AG85" i="1"/>
  <c r="AG88" i="1"/>
  <c r="AD84" i="1"/>
  <c r="L81" i="1"/>
  <c r="L88" i="1"/>
  <c r="J88" i="1"/>
  <c r="AA88" i="1"/>
  <c r="P89" i="1"/>
  <c r="AD88" i="1"/>
  <c r="AF84" i="1"/>
  <c r="I88" i="1"/>
  <c r="AE86" i="1"/>
  <c r="AF87" i="1"/>
  <c r="AB88" i="1"/>
  <c r="V85" i="1"/>
  <c r="AB81" i="1"/>
  <c r="L89" i="1"/>
  <c r="O85" i="1"/>
  <c r="M87" i="1"/>
  <c r="AC87" i="1"/>
  <c r="AD89" i="1"/>
  <c r="Z83" i="1"/>
  <c r="M83" i="1"/>
  <c r="T87" i="1"/>
  <c r="V82" i="1"/>
  <c r="X88" i="1"/>
  <c r="P81" i="1"/>
  <c r="Z89" i="1"/>
  <c r="Y89" i="1"/>
  <c r="M82" i="1"/>
  <c r="R89" i="1"/>
  <c r="AA82" i="1"/>
  <c r="X89" i="1"/>
  <c r="T88" i="1"/>
  <c r="AI83" i="1"/>
  <c r="AK88" i="1"/>
  <c r="AD82" i="1"/>
  <c r="AI85" i="1"/>
  <c r="J81" i="1"/>
  <c r="U84" i="1"/>
  <c r="I87" i="1"/>
  <c r="AA85" i="1"/>
  <c r="U89" i="1"/>
  <c r="O83" i="1"/>
  <c r="Z85" i="1"/>
  <c r="AK82" i="1"/>
  <c r="V81" i="1"/>
  <c r="Q87" i="1"/>
  <c r="X86" i="1"/>
  <c r="AA89" i="1"/>
  <c r="AE89" i="1"/>
  <c r="T86" i="1"/>
  <c r="I84" i="1"/>
  <c r="M81" i="1"/>
  <c r="AB83" i="1"/>
  <c r="AE82" i="1"/>
  <c r="X81" i="1"/>
  <c r="U85" i="1"/>
  <c r="Y86" i="1"/>
  <c r="AA84" i="1"/>
  <c r="Z84" i="1"/>
  <c r="X84" i="1"/>
  <c r="I85" i="1"/>
  <c r="U82" i="1"/>
  <c r="AC83" i="1"/>
  <c r="V87" i="1"/>
  <c r="T84" i="1"/>
  <c r="R84" i="1"/>
  <c r="I89" i="1"/>
  <c r="T82" i="1"/>
  <c r="AZ36" i="1" l="1"/>
  <c r="BN36" i="1"/>
  <c r="BF37" i="1"/>
  <c r="BV37" i="1"/>
  <c r="BC36" i="1"/>
  <c r="BH36" i="1"/>
  <c r="BL36" i="1"/>
  <c r="BP36" i="1"/>
  <c r="BT36" i="1"/>
  <c r="BX36" i="1"/>
  <c r="BC37" i="1"/>
  <c r="BH37" i="1"/>
  <c r="BL37" i="1"/>
  <c r="BP37" i="1"/>
  <c r="BT37" i="1"/>
  <c r="BX37" i="1"/>
  <c r="BC38" i="1"/>
  <c r="BH38" i="1"/>
  <c r="BL38" i="1"/>
  <c r="BP38" i="1"/>
  <c r="BT38" i="1"/>
  <c r="BX38" i="1"/>
  <c r="BC39" i="1"/>
  <c r="BH39" i="1"/>
  <c r="BL39" i="1"/>
  <c r="BP39" i="1"/>
  <c r="BT39" i="1"/>
  <c r="BX39" i="1"/>
  <c r="BC40" i="1"/>
  <c r="BH40" i="1"/>
  <c r="BL40" i="1"/>
  <c r="BP40" i="1"/>
  <c r="BT40" i="1"/>
  <c r="BX40" i="1"/>
  <c r="BC41" i="1"/>
  <c r="BH41" i="1"/>
  <c r="BL41" i="1"/>
  <c r="BP41" i="1"/>
  <c r="BT41" i="1"/>
  <c r="BX41" i="1"/>
  <c r="BC42" i="1"/>
  <c r="BH42" i="1"/>
  <c r="BL42" i="1"/>
  <c r="BP42" i="1"/>
  <c r="BT42" i="1"/>
  <c r="BX42" i="1"/>
  <c r="BC43" i="1"/>
  <c r="BH43" i="1"/>
  <c r="BL43" i="1"/>
  <c r="BP43" i="1"/>
  <c r="BT43" i="1"/>
  <c r="BX43" i="1"/>
  <c r="BC44" i="1"/>
  <c r="BH44" i="1"/>
  <c r="BL44" i="1"/>
  <c r="BP44" i="1"/>
  <c r="BT44" i="1"/>
  <c r="BX44" i="1"/>
  <c r="BJ36" i="1"/>
  <c r="AZ37" i="1"/>
  <c r="BN37" i="1"/>
  <c r="BF38" i="1"/>
  <c r="BR38" i="1"/>
  <c r="BJ39" i="1"/>
  <c r="BV39" i="1"/>
  <c r="BJ40" i="1"/>
  <c r="AZ41" i="1"/>
  <c r="BB36" i="1"/>
  <c r="BG36" i="1"/>
  <c r="BK36" i="1"/>
  <c r="BO36" i="1"/>
  <c r="BS36" i="1"/>
  <c r="BB37" i="1"/>
  <c r="BG37" i="1"/>
  <c r="BK37" i="1"/>
  <c r="BO37" i="1"/>
  <c r="BS37" i="1"/>
  <c r="BB38" i="1"/>
  <c r="BG38" i="1"/>
  <c r="BK38" i="1"/>
  <c r="BO38" i="1"/>
  <c r="BS38" i="1"/>
  <c r="BB39" i="1"/>
  <c r="BG39" i="1"/>
  <c r="BK39" i="1"/>
  <c r="BO39" i="1"/>
  <c r="BS39" i="1"/>
  <c r="BB40" i="1"/>
  <c r="BG40" i="1"/>
  <c r="BK40" i="1"/>
  <c r="BO40" i="1"/>
  <c r="BS40" i="1"/>
  <c r="BB41" i="1"/>
  <c r="BG41" i="1"/>
  <c r="BK41" i="1"/>
  <c r="BO41" i="1"/>
  <c r="BS41" i="1"/>
  <c r="BB42" i="1"/>
  <c r="BG42" i="1"/>
  <c r="BK42" i="1"/>
  <c r="BO42" i="1"/>
  <c r="BS42" i="1"/>
  <c r="BB43" i="1"/>
  <c r="BG43" i="1"/>
  <c r="BK43" i="1"/>
  <c r="BO43" i="1"/>
  <c r="BS43" i="1"/>
  <c r="BB44" i="1"/>
  <c r="BG44" i="1"/>
  <c r="BK44" i="1"/>
  <c r="BO44" i="1"/>
  <c r="BS44" i="1"/>
  <c r="BR36" i="1"/>
  <c r="BR37" i="1"/>
  <c r="BJ38" i="1"/>
  <c r="BV38" i="1"/>
  <c r="BF39" i="1"/>
  <c r="BR39" i="1"/>
  <c r="BF40" i="1"/>
  <c r="BN40" i="1"/>
  <c r="BV40" i="1"/>
  <c r="BF41" i="1"/>
  <c r="BJ41" i="1"/>
  <c r="BN41" i="1"/>
  <c r="BR41" i="1"/>
  <c r="BV41" i="1"/>
  <c r="AZ42" i="1"/>
  <c r="BF42" i="1"/>
  <c r="BJ42" i="1"/>
  <c r="BN42" i="1"/>
  <c r="BR42" i="1"/>
  <c r="BV42" i="1"/>
  <c r="AZ43" i="1"/>
  <c r="BF43" i="1"/>
  <c r="BJ43" i="1"/>
  <c r="BN43" i="1"/>
  <c r="BR43" i="1"/>
  <c r="BV43" i="1"/>
  <c r="AZ44" i="1"/>
  <c r="BF44" i="1"/>
  <c r="BJ44" i="1"/>
  <c r="BN44" i="1"/>
  <c r="BR44" i="1"/>
  <c r="BV44" i="1"/>
  <c r="BF36" i="1"/>
  <c r="BV36" i="1"/>
  <c r="BJ37" i="1"/>
  <c r="AZ38" i="1"/>
  <c r="BN38" i="1"/>
  <c r="AZ39" i="1"/>
  <c r="BN39" i="1"/>
  <c r="AZ40" i="1"/>
  <c r="BR40" i="1"/>
  <c r="AY36" i="1"/>
  <c r="BE36" i="1"/>
  <c r="BI36" i="1"/>
  <c r="BM36" i="1"/>
  <c r="BQ36" i="1"/>
  <c r="BU36" i="1"/>
  <c r="AY37" i="1"/>
  <c r="BE37" i="1"/>
  <c r="BI37" i="1"/>
  <c r="BM37" i="1"/>
  <c r="BQ37" i="1"/>
  <c r="BU37" i="1"/>
  <c r="AY38" i="1"/>
  <c r="BE38" i="1"/>
  <c r="BI38" i="1"/>
  <c r="BM38" i="1"/>
  <c r="BQ38" i="1"/>
  <c r="BU38" i="1"/>
  <c r="AY39" i="1"/>
  <c r="BE39" i="1"/>
  <c r="BI39" i="1"/>
  <c r="BM39" i="1"/>
  <c r="BQ39" i="1"/>
  <c r="BU39" i="1"/>
  <c r="AY40" i="1"/>
  <c r="BE40" i="1"/>
  <c r="BI40" i="1"/>
  <c r="BM40" i="1"/>
  <c r="BQ40" i="1"/>
  <c r="BU40" i="1"/>
  <c r="AY41" i="1"/>
  <c r="BE41" i="1"/>
  <c r="BI41" i="1"/>
  <c r="BM41" i="1"/>
  <c r="BQ41" i="1"/>
  <c r="BU41" i="1"/>
  <c r="AY42" i="1"/>
  <c r="BE42" i="1"/>
  <c r="BI42" i="1"/>
  <c r="BM42" i="1"/>
  <c r="BQ42" i="1"/>
  <c r="BU42" i="1"/>
  <c r="AY43" i="1"/>
  <c r="BE43" i="1"/>
  <c r="BI43" i="1"/>
  <c r="BM43" i="1"/>
  <c r="BQ43" i="1"/>
  <c r="BU43" i="1"/>
  <c r="AY44" i="1"/>
  <c r="BE44" i="1"/>
  <c r="BI44" i="1"/>
  <c r="BM44" i="1"/>
  <c r="BQ44" i="1"/>
  <c r="BU44" i="1"/>
  <c r="N89" i="1"/>
  <c r="BD44" i="1" s="1"/>
  <c r="K89" i="1" l="1"/>
  <c r="BA44" i="1" s="1"/>
  <c r="N88" i="1" l="1"/>
  <c r="BD43" i="1" s="1"/>
  <c r="K88" i="1" l="1"/>
  <c r="BA43" i="1" s="1"/>
  <c r="N87" i="1" l="1"/>
  <c r="BD42" i="1" s="1"/>
  <c r="K87" i="1" l="1"/>
  <c r="BA42" i="1" s="1"/>
  <c r="N86" i="1" l="1"/>
  <c r="BD41" i="1" s="1"/>
  <c r="K86" i="1" l="1"/>
  <c r="BA41" i="1" s="1"/>
  <c r="N85" i="1" l="1"/>
  <c r="BD40" i="1" s="1"/>
  <c r="K85" i="1" l="1"/>
  <c r="BA40" i="1" s="1"/>
  <c r="N84" i="1" l="1"/>
  <c r="BD39" i="1" s="1"/>
  <c r="K84" i="1" l="1"/>
  <c r="BA39" i="1" s="1"/>
  <c r="N83" i="1" l="1"/>
  <c r="BD38" i="1" s="1"/>
  <c r="K83" i="1" l="1"/>
  <c r="BA38" i="1" s="1"/>
  <c r="N82" i="1" l="1"/>
  <c r="BD37" i="1" s="1"/>
  <c r="K82" i="1" l="1"/>
  <c r="BA37" i="1" s="1"/>
  <c r="N81" i="1" l="1"/>
  <c r="BD36" i="1" s="1"/>
  <c r="K81" i="1" l="1"/>
  <c r="BA36" i="1" s="1"/>
  <c r="AK40" i="1"/>
  <c r="AK42" i="1"/>
  <c r="AK45" i="1"/>
  <c r="AI38" i="1"/>
  <c r="AI44" i="1"/>
  <c r="AI43" i="1"/>
  <c r="AK44" i="1"/>
  <c r="AK43" i="1"/>
  <c r="AK39" i="1"/>
  <c r="AI45" i="1"/>
  <c r="AI39" i="1"/>
  <c r="AI40" i="1"/>
  <c r="AI42" i="1"/>
  <c r="AK38" i="1"/>
  <c r="AI41" i="1"/>
  <c r="AK41" i="1"/>
  <c r="BX24" i="1" l="1"/>
  <c r="BX23" i="1"/>
  <c r="BX22" i="1"/>
  <c r="BX21" i="1"/>
  <c r="BX20" i="1"/>
  <c r="BX19" i="1"/>
  <c r="BX18" i="1"/>
  <c r="BX17" i="1"/>
  <c r="AA39" i="1"/>
  <c r="M42" i="1"/>
  <c r="Q39" i="1"/>
  <c r="AF41" i="1"/>
  <c r="V43" i="1"/>
  <c r="Q42" i="1"/>
  <c r="AD40" i="1"/>
  <c r="V44" i="1"/>
  <c r="O38" i="1"/>
  <c r="Q45" i="1"/>
  <c r="AE39" i="1"/>
  <c r="AA40" i="1"/>
  <c r="AB40" i="1"/>
  <c r="X44" i="1"/>
  <c r="AE44" i="1"/>
  <c r="AD44" i="1"/>
  <c r="U40" i="1"/>
  <c r="X38" i="1"/>
  <c r="L42" i="1"/>
  <c r="AD41" i="1"/>
  <c r="O40" i="1"/>
  <c r="Y38" i="1"/>
  <c r="J42" i="1"/>
  <c r="AE45" i="1"/>
  <c r="M39" i="1"/>
  <c r="V39" i="1"/>
  <c r="AD42" i="1"/>
  <c r="I42" i="1"/>
  <c r="AE42" i="1"/>
  <c r="AB45" i="1"/>
  <c r="T39" i="1"/>
  <c r="T41" i="1"/>
  <c r="I38" i="1"/>
  <c r="AD43" i="1"/>
  <c r="O39" i="1"/>
  <c r="L40" i="1"/>
  <c r="X43" i="1"/>
  <c r="T42" i="1"/>
  <c r="Q43" i="1"/>
  <c r="AA38" i="1"/>
  <c r="V38" i="1"/>
  <c r="W45" i="1"/>
  <c r="AB41" i="1"/>
  <c r="R39" i="1"/>
  <c r="I40" i="1"/>
  <c r="AC41" i="1"/>
  <c r="P43" i="1"/>
  <c r="T45" i="1"/>
  <c r="M38" i="1"/>
  <c r="Y42" i="1"/>
  <c r="X39" i="1"/>
  <c r="M40" i="1"/>
  <c r="R45" i="1"/>
  <c r="AF40" i="1"/>
  <c r="AB38" i="1"/>
  <c r="T40" i="1"/>
  <c r="AA41" i="1"/>
  <c r="T38" i="1"/>
  <c r="AD38" i="1"/>
  <c r="R43" i="1"/>
  <c r="Z45" i="1"/>
  <c r="AB43" i="1"/>
  <c r="L41" i="1"/>
  <c r="Y43" i="1"/>
  <c r="I41" i="1"/>
  <c r="Y39" i="1"/>
  <c r="AB42" i="1"/>
  <c r="L39" i="1"/>
  <c r="W41" i="1"/>
  <c r="L44" i="1"/>
  <c r="O41" i="1"/>
  <c r="V45" i="1"/>
  <c r="R40" i="1"/>
  <c r="AB39" i="1"/>
  <c r="AF45" i="1"/>
  <c r="AG40" i="1"/>
  <c r="M43" i="1"/>
  <c r="X42" i="1"/>
  <c r="Y44" i="1"/>
  <c r="P42" i="1"/>
  <c r="AF42" i="1"/>
  <c r="Z38" i="1"/>
  <c r="AG42" i="1"/>
  <c r="Z44" i="1"/>
  <c r="AC38" i="1"/>
  <c r="O44" i="1"/>
  <c r="M44" i="1"/>
  <c r="I39" i="1"/>
  <c r="P38" i="1"/>
  <c r="AE40" i="1"/>
  <c r="L45" i="1"/>
  <c r="AG38" i="1"/>
  <c r="AB44" i="1"/>
  <c r="AF44" i="1"/>
  <c r="AA42" i="1"/>
  <c r="Z41" i="1"/>
  <c r="AE43" i="1"/>
  <c r="P41" i="1"/>
  <c r="J38" i="1"/>
  <c r="U41" i="1"/>
  <c r="AC39" i="1"/>
  <c r="AC45" i="1"/>
  <c r="U43" i="1"/>
  <c r="Z42" i="1"/>
  <c r="J39" i="1"/>
  <c r="O42" i="1"/>
  <c r="Q40" i="1"/>
  <c r="X45" i="1"/>
  <c r="Q41" i="1"/>
  <c r="L43" i="1"/>
  <c r="R42" i="1"/>
  <c r="AD39" i="1"/>
  <c r="AF39" i="1"/>
  <c r="AD45" i="1"/>
  <c r="V42" i="1"/>
  <c r="P45" i="1"/>
  <c r="W38" i="1"/>
  <c r="P40" i="1"/>
  <c r="O43" i="1"/>
  <c r="AG41" i="1"/>
  <c r="U44" i="1"/>
  <c r="M45" i="1"/>
  <c r="AC42" i="1"/>
  <c r="Z39" i="1"/>
  <c r="Y45" i="1"/>
  <c r="U39" i="1"/>
  <c r="AG39" i="1"/>
  <c r="Y41" i="1"/>
  <c r="U45" i="1"/>
  <c r="T44" i="1"/>
  <c r="W43" i="1"/>
  <c r="I45" i="1"/>
  <c r="U38" i="1"/>
  <c r="Q44" i="1"/>
  <c r="AA45" i="1"/>
  <c r="AG45" i="1"/>
  <c r="R41" i="1"/>
  <c r="AE41" i="1"/>
  <c r="J44" i="1"/>
  <c r="AF38" i="1"/>
  <c r="W42" i="1"/>
  <c r="AC44" i="1"/>
  <c r="O45" i="1"/>
  <c r="AE38" i="1"/>
  <c r="AF43" i="1"/>
  <c r="T43" i="1"/>
  <c r="M41" i="1"/>
  <c r="R38" i="1"/>
  <c r="I43" i="1"/>
  <c r="AC40" i="1"/>
  <c r="X40" i="1"/>
  <c r="Q38" i="1"/>
  <c r="W39" i="1"/>
  <c r="AA44" i="1"/>
  <c r="AG44" i="1"/>
  <c r="V41" i="1"/>
  <c r="R44" i="1"/>
  <c r="J40" i="1"/>
  <c r="L38" i="1"/>
  <c r="Z43" i="1"/>
  <c r="AG43" i="1"/>
  <c r="U42" i="1"/>
  <c r="P44" i="1"/>
  <c r="I44" i="1"/>
  <c r="W44" i="1"/>
  <c r="J45" i="1"/>
  <c r="AC43" i="1"/>
  <c r="X41" i="1"/>
  <c r="Y40" i="1"/>
  <c r="P39" i="1"/>
  <c r="Z40" i="1"/>
  <c r="W40" i="1"/>
  <c r="V40" i="1"/>
  <c r="J41" i="1"/>
  <c r="J43" i="1"/>
  <c r="AA43" i="1"/>
  <c r="AZ24" i="1" l="1"/>
  <c r="AY24" i="1"/>
  <c r="AZ23" i="1"/>
  <c r="AY23" i="1"/>
  <c r="AZ22" i="1"/>
  <c r="AY22" i="1"/>
  <c r="AZ21" i="1"/>
  <c r="AY21" i="1"/>
  <c r="AZ20" i="1"/>
  <c r="AY20" i="1"/>
  <c r="AZ19" i="1"/>
  <c r="AY19" i="1"/>
  <c r="AZ18" i="1"/>
  <c r="AY18" i="1"/>
  <c r="AZ17" i="1"/>
  <c r="AY17" i="1"/>
  <c r="BB17" i="1"/>
  <c r="BC17" i="1"/>
  <c r="BB18" i="1"/>
  <c r="BC18" i="1"/>
  <c r="BB19" i="1"/>
  <c r="BC19" i="1"/>
  <c r="BB20" i="1"/>
  <c r="BC20" i="1"/>
  <c r="BB21" i="1"/>
  <c r="BC21" i="1"/>
  <c r="BB22" i="1"/>
  <c r="BC22" i="1"/>
  <c r="BB23" i="1"/>
  <c r="BC23" i="1"/>
  <c r="BB24" i="1"/>
  <c r="BC24" i="1"/>
  <c r="BH24" i="1"/>
  <c r="BG24" i="1"/>
  <c r="BF24" i="1"/>
  <c r="BE24" i="1"/>
  <c r="BH23" i="1"/>
  <c r="BG23" i="1"/>
  <c r="BF23" i="1"/>
  <c r="BE23" i="1"/>
  <c r="BH22" i="1"/>
  <c r="BG22" i="1"/>
  <c r="BF22" i="1"/>
  <c r="BE22" i="1"/>
  <c r="BH21" i="1"/>
  <c r="BG21" i="1"/>
  <c r="BF21" i="1"/>
  <c r="BE21" i="1"/>
  <c r="BH20" i="1"/>
  <c r="BG20" i="1"/>
  <c r="BF20" i="1"/>
  <c r="BE20" i="1"/>
  <c r="BH19" i="1"/>
  <c r="BG19" i="1"/>
  <c r="BF19" i="1"/>
  <c r="BE19" i="1"/>
  <c r="BH18" i="1"/>
  <c r="BG18" i="1"/>
  <c r="BF18" i="1"/>
  <c r="BE18" i="1"/>
  <c r="BH17" i="1"/>
  <c r="BG17" i="1"/>
  <c r="BF17" i="1"/>
  <c r="BE17" i="1"/>
  <c r="BI17" i="1"/>
  <c r="BJ17" i="1"/>
  <c r="BK17" i="1"/>
  <c r="BL17" i="1"/>
  <c r="BI18" i="1"/>
  <c r="BJ18" i="1"/>
  <c r="BK18" i="1"/>
  <c r="BL18" i="1"/>
  <c r="BI19" i="1"/>
  <c r="BJ19" i="1"/>
  <c r="BK19" i="1"/>
  <c r="BL19" i="1"/>
  <c r="BI20" i="1"/>
  <c r="BJ20" i="1"/>
  <c r="BK20" i="1"/>
  <c r="BL20" i="1"/>
  <c r="BI21" i="1"/>
  <c r="BJ21" i="1"/>
  <c r="BK21" i="1"/>
  <c r="BL21" i="1"/>
  <c r="BI22" i="1"/>
  <c r="BJ22" i="1"/>
  <c r="BK22" i="1"/>
  <c r="BL22" i="1"/>
  <c r="BI23" i="1"/>
  <c r="BJ23" i="1"/>
  <c r="BK23" i="1"/>
  <c r="BL23" i="1"/>
  <c r="BI24" i="1"/>
  <c r="BJ24" i="1"/>
  <c r="BK24" i="1"/>
  <c r="BL24" i="1"/>
  <c r="BV24" i="1"/>
  <c r="BU24" i="1"/>
  <c r="BT24" i="1"/>
  <c r="BS24" i="1"/>
  <c r="BR24" i="1"/>
  <c r="BQ24" i="1"/>
  <c r="BP24" i="1"/>
  <c r="BO24" i="1"/>
  <c r="BN24" i="1"/>
  <c r="BM24" i="1"/>
  <c r="BV23" i="1"/>
  <c r="BU23" i="1"/>
  <c r="BT23" i="1"/>
  <c r="BS23" i="1"/>
  <c r="BR23" i="1"/>
  <c r="BQ23" i="1"/>
  <c r="BP23" i="1"/>
  <c r="BO23" i="1"/>
  <c r="BN23" i="1"/>
  <c r="BM23" i="1"/>
  <c r="BV22" i="1"/>
  <c r="BU22" i="1"/>
  <c r="BT22" i="1"/>
  <c r="BS22" i="1"/>
  <c r="BR22" i="1"/>
  <c r="BQ22" i="1"/>
  <c r="BP22" i="1"/>
  <c r="BO22" i="1"/>
  <c r="BN22" i="1"/>
  <c r="BM22" i="1"/>
  <c r="BV21" i="1"/>
  <c r="BU21" i="1"/>
  <c r="BT21" i="1"/>
  <c r="BS21" i="1"/>
  <c r="BR21" i="1"/>
  <c r="BQ21" i="1"/>
  <c r="BP21" i="1"/>
  <c r="BO21" i="1"/>
  <c r="BN21" i="1"/>
  <c r="BM21" i="1"/>
  <c r="BV20" i="1"/>
  <c r="BU20" i="1"/>
  <c r="BT20" i="1"/>
  <c r="BS20" i="1"/>
  <c r="BR20" i="1"/>
  <c r="BQ20" i="1"/>
  <c r="BP20" i="1"/>
  <c r="BO20" i="1"/>
  <c r="BN20" i="1"/>
  <c r="BM20" i="1"/>
  <c r="BV19" i="1"/>
  <c r="BU19" i="1"/>
  <c r="BT19" i="1"/>
  <c r="BS19" i="1"/>
  <c r="BR19" i="1"/>
  <c r="BQ19" i="1"/>
  <c r="BP19" i="1"/>
  <c r="BO19" i="1"/>
  <c r="BN19" i="1"/>
  <c r="BM19" i="1"/>
  <c r="BV18" i="1"/>
  <c r="BU18" i="1"/>
  <c r="BT18" i="1"/>
  <c r="BS18" i="1"/>
  <c r="BR18" i="1"/>
  <c r="BQ18" i="1"/>
  <c r="BP18" i="1"/>
  <c r="BO18" i="1"/>
  <c r="BN18" i="1"/>
  <c r="BM18" i="1"/>
  <c r="BV17" i="1"/>
  <c r="BU17" i="1"/>
  <c r="BT17" i="1"/>
  <c r="BS17" i="1"/>
  <c r="BR17" i="1"/>
  <c r="BQ17" i="1"/>
  <c r="BP17" i="1"/>
  <c r="BO17" i="1"/>
  <c r="BN17" i="1"/>
  <c r="BM17" i="1"/>
  <c r="N45" i="1"/>
  <c r="BD24" i="1" s="1"/>
  <c r="N44" i="1"/>
  <c r="BD23" i="1" s="1"/>
  <c r="N43" i="1"/>
  <c r="BD22" i="1" s="1"/>
  <c r="N42" i="1"/>
  <c r="BD21" i="1" s="1"/>
  <c r="N41" i="1"/>
  <c r="BD20" i="1" s="1"/>
  <c r="N40" i="1"/>
  <c r="BD19" i="1" s="1"/>
  <c r="N39" i="1"/>
  <c r="BD18" i="1" s="1"/>
  <c r="N38" i="1"/>
  <c r="BD17" i="1" s="1"/>
  <c r="K38" i="1"/>
  <c r="BA17" i="1" s="1"/>
  <c r="K39" i="1"/>
  <c r="BA18" i="1" s="1"/>
  <c r="K40" i="1"/>
  <c r="BA19" i="1" s="1"/>
  <c r="K41" i="1"/>
  <c r="BA20" i="1" s="1"/>
  <c r="K42" i="1"/>
  <c r="BA21" i="1" s="1"/>
  <c r="K43" i="1"/>
  <c r="BA22" i="1" s="1"/>
  <c r="K44" i="1"/>
  <c r="BA23" i="1" s="1"/>
  <c r="K45" i="1"/>
  <c r="BA24" i="1" s="1"/>
  <c r="N99" i="1"/>
  <c r="M99" i="1"/>
  <c r="L99" i="1"/>
  <c r="K99" i="1"/>
  <c r="J99" i="1"/>
  <c r="I99" i="1"/>
  <c r="H99" i="1"/>
  <c r="N77" i="1"/>
  <c r="M77" i="1"/>
  <c r="L77" i="1"/>
  <c r="K77" i="1"/>
  <c r="J77" i="1"/>
  <c r="I77" i="1"/>
  <c r="H77" i="1"/>
  <c r="N55" i="1"/>
  <c r="M55" i="1"/>
  <c r="L55" i="1"/>
  <c r="K55" i="1"/>
  <c r="J55" i="1"/>
  <c r="I55" i="1"/>
  <c r="H55" i="1"/>
  <c r="J33" i="1"/>
  <c r="K33" i="1"/>
  <c r="L33" i="1"/>
  <c r="M33" i="1"/>
  <c r="N33" i="1"/>
  <c r="I33" i="1"/>
  <c r="H33" i="1" l="1"/>
  <c r="AX46" i="1" l="1"/>
  <c r="AW45" i="1"/>
  <c r="AQ45" i="1" s="1"/>
  <c r="AT45" i="1" s="1"/>
  <c r="AX45" i="1"/>
  <c r="AW46" i="1"/>
  <c r="AQ46" i="1" s="1"/>
  <c r="AT46" i="1" s="1"/>
  <c r="F24" i="1"/>
  <c r="AL89" i="1"/>
  <c r="AH89" i="1" s="1"/>
  <c r="AL88" i="1"/>
  <c r="AH88" i="1" s="1"/>
  <c r="AL87" i="1"/>
  <c r="AH87" i="1" s="1"/>
  <c r="AL86" i="1"/>
  <c r="AH86" i="1" s="1"/>
  <c r="AL85" i="1"/>
  <c r="AH85" i="1" s="1"/>
  <c r="AL84" i="1"/>
  <c r="AH84" i="1" s="1"/>
  <c r="AL83" i="1"/>
  <c r="AH83" i="1" s="1"/>
  <c r="AL82" i="1"/>
  <c r="AH82" i="1" s="1"/>
  <c r="AL81" i="1"/>
  <c r="AH81" i="1" s="1"/>
  <c r="V102" i="1"/>
  <c r="AC103" i="1"/>
  <c r="R102" i="1"/>
  <c r="AB103" i="1"/>
  <c r="L103" i="1"/>
  <c r="AK72" i="1"/>
  <c r="Z102" i="1"/>
  <c r="O103" i="1"/>
  <c r="Q102" i="1"/>
  <c r="AK95" i="1"/>
  <c r="AA102" i="1"/>
  <c r="AE102" i="1"/>
  <c r="Q103" i="1"/>
  <c r="I103" i="1"/>
  <c r="P102" i="1"/>
  <c r="AI102" i="1"/>
  <c r="J103" i="1"/>
  <c r="AB102" i="1"/>
  <c r="AK71" i="1"/>
  <c r="I102" i="1"/>
  <c r="J102" i="1"/>
  <c r="AK96" i="1"/>
  <c r="U103" i="1"/>
  <c r="Z103" i="1"/>
  <c r="AK70" i="1"/>
  <c r="AF103" i="1"/>
  <c r="M103" i="1"/>
  <c r="AK69" i="1"/>
  <c r="T103" i="1"/>
  <c r="AI103" i="1"/>
  <c r="L102" i="1"/>
  <c r="AK92" i="1"/>
  <c r="Y103" i="1"/>
  <c r="W102" i="1"/>
  <c r="AD102" i="1"/>
  <c r="W103" i="1"/>
  <c r="O102" i="1"/>
  <c r="T102" i="1"/>
  <c r="AK47" i="1"/>
  <c r="AK93" i="1"/>
  <c r="AE103" i="1"/>
  <c r="AK91" i="1"/>
  <c r="AK49" i="1"/>
  <c r="X103" i="1"/>
  <c r="AK94" i="1"/>
  <c r="R103" i="1"/>
  <c r="V103" i="1"/>
  <c r="AK103" i="1"/>
  <c r="AA103" i="1"/>
  <c r="AK90" i="1"/>
  <c r="AD103" i="1"/>
  <c r="P103" i="1"/>
  <c r="U102" i="1"/>
  <c r="Y102" i="1"/>
  <c r="AC102" i="1"/>
  <c r="AF102" i="1"/>
  <c r="AK102" i="1"/>
  <c r="AK68" i="1"/>
  <c r="AG102" i="1"/>
  <c r="M102" i="1"/>
  <c r="X102" i="1"/>
  <c r="AK46" i="1"/>
  <c r="AK48" i="1"/>
  <c r="AG103" i="1"/>
  <c r="BU45" i="1" l="1"/>
  <c r="BQ45" i="1"/>
  <c r="BM45" i="1"/>
  <c r="BI45" i="1"/>
  <c r="BE45" i="1"/>
  <c r="AY45" i="1"/>
  <c r="BO45" i="1"/>
  <c r="BB45" i="1"/>
  <c r="BV45" i="1"/>
  <c r="BR45" i="1"/>
  <c r="BN45" i="1"/>
  <c r="BJ45" i="1"/>
  <c r="BF45" i="1"/>
  <c r="AZ45" i="1"/>
  <c r="BK45" i="1"/>
  <c r="BX45" i="1"/>
  <c r="BT45" i="1"/>
  <c r="BP45" i="1"/>
  <c r="BL45" i="1"/>
  <c r="BH45" i="1"/>
  <c r="BC45" i="1"/>
  <c r="BS45" i="1"/>
  <c r="BG45" i="1"/>
  <c r="BU46" i="1"/>
  <c r="BQ46" i="1"/>
  <c r="BM46" i="1"/>
  <c r="BI46" i="1"/>
  <c r="BE46" i="1"/>
  <c r="AY46" i="1"/>
  <c r="BK46" i="1"/>
  <c r="BB46" i="1"/>
  <c r="BV46" i="1"/>
  <c r="BR46" i="1"/>
  <c r="BN46" i="1"/>
  <c r="BJ46" i="1"/>
  <c r="BF46" i="1"/>
  <c r="AZ46" i="1"/>
  <c r="BO46" i="1"/>
  <c r="BX46" i="1"/>
  <c r="BT46" i="1"/>
  <c r="BP46" i="1"/>
  <c r="BL46" i="1"/>
  <c r="BH46" i="1"/>
  <c r="BC46" i="1"/>
  <c r="BS46" i="1"/>
  <c r="BG46" i="1"/>
  <c r="K102" i="1"/>
  <c r="BA45" i="1" s="1"/>
  <c r="N102" i="1"/>
  <c r="BD45" i="1" s="1"/>
  <c r="K103" i="1"/>
  <c r="BA46" i="1" s="1"/>
  <c r="N103" i="1"/>
  <c r="BD46" i="1" s="1"/>
  <c r="AX15" i="1"/>
  <c r="AW16" i="1"/>
  <c r="AX16" i="1"/>
  <c r="AX35" i="1"/>
  <c r="AW35" i="1"/>
  <c r="AQ35" i="1" s="1"/>
  <c r="AT35" i="1" s="1"/>
  <c r="AW26" i="1"/>
  <c r="AQ26" i="1" s="1"/>
  <c r="AT26" i="1" s="1"/>
  <c r="AW28" i="1"/>
  <c r="AQ28" i="1" s="1"/>
  <c r="AT28" i="1" s="1"/>
  <c r="AW30" i="1"/>
  <c r="AQ30" i="1" s="1"/>
  <c r="AT30" i="1" s="1"/>
  <c r="AW32" i="1"/>
  <c r="AQ32" i="1" s="1"/>
  <c r="AT32" i="1" s="1"/>
  <c r="AW34" i="1"/>
  <c r="AQ34" i="1" s="1"/>
  <c r="AT34" i="1" s="1"/>
  <c r="AX31" i="1"/>
  <c r="AW25" i="1"/>
  <c r="AQ25" i="1" s="1"/>
  <c r="AT25" i="1" s="1"/>
  <c r="AW27" i="1"/>
  <c r="AQ27" i="1" s="1"/>
  <c r="AT27" i="1" s="1"/>
  <c r="AW29" i="1"/>
  <c r="AQ29" i="1" s="1"/>
  <c r="AT29" i="1" s="1"/>
  <c r="AW31" i="1"/>
  <c r="AQ31" i="1" s="1"/>
  <c r="AT31" i="1" s="1"/>
  <c r="AW33" i="1"/>
  <c r="AQ33" i="1" s="1"/>
  <c r="AT33" i="1" s="1"/>
  <c r="AX25" i="1"/>
  <c r="AX27" i="1"/>
  <c r="AX29" i="1"/>
  <c r="AX33" i="1"/>
  <c r="AX28" i="1"/>
  <c r="AX30" i="1"/>
  <c r="AX32" i="1"/>
  <c r="AX34" i="1"/>
  <c r="AX26" i="1"/>
  <c r="P61" i="1"/>
  <c r="L65" i="1"/>
  <c r="P65" i="1"/>
  <c r="X63" i="1"/>
  <c r="X37" i="1"/>
  <c r="AA63" i="1"/>
  <c r="Q67" i="1"/>
  <c r="R58" i="1"/>
  <c r="Q64" i="1"/>
  <c r="P67" i="1"/>
  <c r="I66" i="1"/>
  <c r="AC37" i="1"/>
  <c r="P60" i="1"/>
  <c r="Q59" i="1"/>
  <c r="AK63" i="1"/>
  <c r="O36" i="1"/>
  <c r="O63" i="1"/>
  <c r="AB80" i="1"/>
  <c r="AI36" i="1"/>
  <c r="L61" i="1"/>
  <c r="L59" i="1"/>
  <c r="AC63" i="1"/>
  <c r="T65" i="1"/>
  <c r="AK80" i="1"/>
  <c r="AC62" i="1"/>
  <c r="M67" i="1"/>
  <c r="Y64" i="1"/>
  <c r="L37" i="1"/>
  <c r="AE61" i="1"/>
  <c r="I37" i="1"/>
  <c r="U80" i="1"/>
  <c r="M63" i="1"/>
  <c r="Z65" i="1"/>
  <c r="AF59" i="1"/>
  <c r="AK59" i="1"/>
  <c r="AD61" i="1"/>
  <c r="AG62" i="1"/>
  <c r="J64" i="1"/>
  <c r="X61" i="1"/>
  <c r="Z80" i="1"/>
  <c r="AE64" i="1"/>
  <c r="AD37" i="1"/>
  <c r="R60" i="1"/>
  <c r="W37" i="1"/>
  <c r="M58" i="1"/>
  <c r="W63" i="1"/>
  <c r="Y65" i="1"/>
  <c r="AE60" i="1"/>
  <c r="V80" i="1"/>
  <c r="X60" i="1"/>
  <c r="U36" i="1"/>
  <c r="J58" i="1"/>
  <c r="AB62" i="1"/>
  <c r="Z59" i="1"/>
  <c r="AK36" i="1"/>
  <c r="U62" i="1"/>
  <c r="W80" i="1"/>
  <c r="R36" i="1"/>
  <c r="X36" i="1"/>
  <c r="L36" i="1"/>
  <c r="AB37" i="1"/>
  <c r="V64" i="1"/>
  <c r="AK60" i="1"/>
  <c r="O58" i="1"/>
  <c r="X58" i="1"/>
  <c r="P58" i="1"/>
  <c r="O67" i="1"/>
  <c r="AC80" i="1"/>
  <c r="J37" i="1"/>
  <c r="AI58" i="1"/>
  <c r="AD60" i="1"/>
  <c r="AK66" i="1"/>
  <c r="AA66" i="1"/>
  <c r="Z62" i="1"/>
  <c r="AF64" i="1"/>
  <c r="X62" i="1"/>
  <c r="T67" i="1"/>
  <c r="Q36" i="1"/>
  <c r="AB66" i="1"/>
  <c r="I36" i="1"/>
  <c r="W61" i="1"/>
  <c r="Y59" i="1"/>
  <c r="U58" i="1"/>
  <c r="AA59" i="1"/>
  <c r="Y67" i="1"/>
  <c r="P59" i="1"/>
  <c r="AG64" i="1"/>
  <c r="AD80" i="1"/>
  <c r="L63" i="1"/>
  <c r="T66" i="1"/>
  <c r="AF80" i="1"/>
  <c r="O80" i="1"/>
  <c r="AI65" i="1"/>
  <c r="AA60" i="1"/>
  <c r="O59" i="1"/>
  <c r="Y62" i="1"/>
  <c r="AC66" i="1"/>
  <c r="AI62" i="1"/>
  <c r="M80" i="1"/>
  <c r="Y60" i="1"/>
  <c r="J65" i="1"/>
  <c r="R67" i="1"/>
  <c r="AB61" i="1"/>
  <c r="AE65" i="1"/>
  <c r="V66" i="1"/>
  <c r="AK67" i="1"/>
  <c r="AG61" i="1"/>
  <c r="T60" i="1"/>
  <c r="M64" i="1"/>
  <c r="P37" i="1"/>
  <c r="AA37" i="1"/>
  <c r="J62" i="1"/>
  <c r="J61" i="1"/>
  <c r="R66" i="1"/>
  <c r="T62" i="1"/>
  <c r="AF62" i="1"/>
  <c r="AE63" i="1"/>
  <c r="R63" i="1"/>
  <c r="V58" i="1"/>
  <c r="W60" i="1"/>
  <c r="V63" i="1"/>
  <c r="AB67" i="1"/>
  <c r="Z63" i="1"/>
  <c r="W58" i="1"/>
  <c r="AK64" i="1"/>
  <c r="M36" i="1"/>
  <c r="AG80" i="1"/>
  <c r="AC61" i="1"/>
  <c r="X59" i="1"/>
  <c r="U61" i="1"/>
  <c r="AF58" i="1"/>
  <c r="AE37" i="1"/>
  <c r="AG36" i="1"/>
  <c r="J80" i="1"/>
  <c r="AA64" i="1"/>
  <c r="AK37" i="1"/>
  <c r="AA61" i="1"/>
  <c r="AE58" i="1"/>
  <c r="U63" i="1"/>
  <c r="Z67" i="1"/>
  <c r="AE62" i="1"/>
  <c r="L64" i="1"/>
  <c r="U60" i="1"/>
  <c r="U65" i="1"/>
  <c r="M37" i="1"/>
  <c r="O64" i="1"/>
  <c r="AC59" i="1"/>
  <c r="AF67" i="1"/>
  <c r="W67" i="1"/>
  <c r="AI59" i="1"/>
  <c r="AA58" i="1"/>
  <c r="AG58" i="1"/>
  <c r="J60" i="1"/>
  <c r="V59" i="1"/>
  <c r="X67" i="1"/>
  <c r="T36" i="1"/>
  <c r="I80" i="1"/>
  <c r="Y36" i="1"/>
  <c r="T80" i="1"/>
  <c r="W59" i="1"/>
  <c r="T58" i="1"/>
  <c r="AF63" i="1"/>
  <c r="AE67" i="1"/>
  <c r="Q37" i="1"/>
  <c r="I60" i="1"/>
  <c r="AK65" i="1"/>
  <c r="AB60" i="1"/>
  <c r="J36" i="1"/>
  <c r="AF36" i="1"/>
  <c r="M66" i="1"/>
  <c r="L58" i="1"/>
  <c r="AC58" i="1"/>
  <c r="AG67" i="1"/>
  <c r="AF37" i="1"/>
  <c r="P64" i="1"/>
  <c r="AB36" i="1"/>
  <c r="AG63" i="1"/>
  <c r="AC64" i="1"/>
  <c r="T63" i="1"/>
  <c r="AI66" i="1"/>
  <c r="L62" i="1"/>
  <c r="O61" i="1"/>
  <c r="AE80" i="1"/>
  <c r="L60" i="1"/>
  <c r="Z60" i="1"/>
  <c r="V60" i="1"/>
  <c r="AD64" i="1"/>
  <c r="Q61" i="1"/>
  <c r="Q60" i="1"/>
  <c r="R61" i="1"/>
  <c r="AI61" i="1"/>
  <c r="AD65" i="1"/>
  <c r="I67" i="1"/>
  <c r="W65" i="1"/>
  <c r="V67" i="1"/>
  <c r="AD67" i="1"/>
  <c r="R65" i="1"/>
  <c r="T61" i="1"/>
  <c r="L80" i="1"/>
  <c r="R64" i="1"/>
  <c r="R62" i="1"/>
  <c r="Q63" i="1"/>
  <c r="V62" i="1"/>
  <c r="U59" i="1"/>
  <c r="AC36" i="1"/>
  <c r="AE59" i="1"/>
  <c r="AG60" i="1"/>
  <c r="O37" i="1"/>
  <c r="AG59" i="1"/>
  <c r="O66" i="1"/>
  <c r="AA67" i="1"/>
  <c r="M65" i="1"/>
  <c r="X64" i="1"/>
  <c r="J63" i="1"/>
  <c r="W36" i="1"/>
  <c r="R59" i="1"/>
  <c r="Q66" i="1"/>
  <c r="L67" i="1"/>
  <c r="P80" i="1"/>
  <c r="AK58" i="1"/>
  <c r="W62" i="1"/>
  <c r="AC65" i="1"/>
  <c r="T64" i="1"/>
  <c r="V65" i="1"/>
  <c r="P66" i="1"/>
  <c r="AB65" i="1"/>
  <c r="AI80" i="1"/>
  <c r="AF61" i="1"/>
  <c r="AE66" i="1"/>
  <c r="U67" i="1"/>
  <c r="AB64" i="1"/>
  <c r="Q62" i="1"/>
  <c r="AC67" i="1"/>
  <c r="Z66" i="1"/>
  <c r="P62" i="1"/>
  <c r="AE36" i="1"/>
  <c r="L66" i="1"/>
  <c r="AF65" i="1"/>
  <c r="Y80" i="1"/>
  <c r="I65" i="1"/>
  <c r="T37" i="1"/>
  <c r="AD63" i="1"/>
  <c r="M62" i="1"/>
  <c r="AF60" i="1"/>
  <c r="X80" i="1"/>
  <c r="AD36" i="1"/>
  <c r="AD62" i="1"/>
  <c r="AI37" i="1"/>
  <c r="Z37" i="1"/>
  <c r="AK61" i="1"/>
  <c r="AG37" i="1"/>
  <c r="W64" i="1"/>
  <c r="AD59" i="1"/>
  <c r="Z64" i="1"/>
  <c r="AI67" i="1"/>
  <c r="Z36" i="1"/>
  <c r="J67" i="1"/>
  <c r="Z58" i="1"/>
  <c r="I58" i="1"/>
  <c r="V37" i="1"/>
  <c r="AA36" i="1"/>
  <c r="O65" i="1"/>
  <c r="I64" i="1"/>
  <c r="AI64" i="1"/>
  <c r="AF66" i="1"/>
  <c r="R37" i="1"/>
  <c r="J66" i="1"/>
  <c r="AG65" i="1"/>
  <c r="W66" i="1"/>
  <c r="AA62" i="1"/>
  <c r="U37" i="1"/>
  <c r="U66" i="1"/>
  <c r="O62" i="1"/>
  <c r="AI60" i="1"/>
  <c r="V61" i="1"/>
  <c r="AD58" i="1"/>
  <c r="Q65" i="1"/>
  <c r="O60" i="1"/>
  <c r="Z61" i="1"/>
  <c r="AB58" i="1"/>
  <c r="I62" i="1"/>
  <c r="M59" i="1"/>
  <c r="Y61" i="1"/>
  <c r="T59" i="1"/>
  <c r="J59" i="1"/>
  <c r="AB59" i="1"/>
  <c r="Q58" i="1"/>
  <c r="U64" i="1"/>
  <c r="AD66" i="1"/>
  <c r="AB63" i="1"/>
  <c r="R80" i="1"/>
  <c r="X65" i="1"/>
  <c r="I63" i="1"/>
  <c r="AA80" i="1"/>
  <c r="X66" i="1"/>
  <c r="Y58" i="1"/>
  <c r="Y63" i="1"/>
  <c r="Y37" i="1"/>
  <c r="I61" i="1"/>
  <c r="P63" i="1"/>
  <c r="Q80" i="1"/>
  <c r="AI63" i="1"/>
  <c r="V36" i="1"/>
  <c r="AC60" i="1"/>
  <c r="AG66" i="1"/>
  <c r="M61" i="1"/>
  <c r="AK62" i="1"/>
  <c r="AA65" i="1"/>
  <c r="I59" i="1"/>
  <c r="Y66" i="1"/>
  <c r="M60" i="1"/>
  <c r="P36" i="1"/>
  <c r="BU35" i="1" l="1"/>
  <c r="BQ35" i="1"/>
  <c r="BM35" i="1"/>
  <c r="BI35" i="1"/>
  <c r="BE35" i="1"/>
  <c r="AY35" i="1"/>
  <c r="BN35" i="1"/>
  <c r="AZ35" i="1"/>
  <c r="BV35" i="1"/>
  <c r="BS35" i="1"/>
  <c r="BO35" i="1"/>
  <c r="BK35" i="1"/>
  <c r="BG35" i="1"/>
  <c r="BB35" i="1"/>
  <c r="BR35" i="1"/>
  <c r="BF35" i="1"/>
  <c r="BX35" i="1"/>
  <c r="BT35" i="1"/>
  <c r="BP35" i="1"/>
  <c r="BL35" i="1"/>
  <c r="BH35" i="1"/>
  <c r="BC35" i="1"/>
  <c r="BJ35" i="1"/>
  <c r="BU33" i="1"/>
  <c r="BQ33" i="1"/>
  <c r="BM33" i="1"/>
  <c r="BI33" i="1"/>
  <c r="BE33" i="1"/>
  <c r="AY33" i="1"/>
  <c r="BS33" i="1"/>
  <c r="BK33" i="1"/>
  <c r="BB33" i="1"/>
  <c r="BV33" i="1"/>
  <c r="BR33" i="1"/>
  <c r="BN33" i="1"/>
  <c r="BJ33" i="1"/>
  <c r="BF33" i="1"/>
  <c r="AZ33" i="1"/>
  <c r="BO33" i="1"/>
  <c r="BG33" i="1"/>
  <c r="BX33" i="1"/>
  <c r="BT33" i="1"/>
  <c r="BP33" i="1"/>
  <c r="BL33" i="1"/>
  <c r="BH33" i="1"/>
  <c r="BC33" i="1"/>
  <c r="BU25" i="1"/>
  <c r="BQ25" i="1"/>
  <c r="BM25" i="1"/>
  <c r="BI25" i="1"/>
  <c r="BE25" i="1"/>
  <c r="AY25" i="1"/>
  <c r="BO25" i="1"/>
  <c r="BB25" i="1"/>
  <c r="BV25" i="1"/>
  <c r="BR25" i="1"/>
  <c r="BN25" i="1"/>
  <c r="BJ25" i="1"/>
  <c r="BF25" i="1"/>
  <c r="AZ25" i="1"/>
  <c r="BK25" i="1"/>
  <c r="BX25" i="1"/>
  <c r="BT25" i="1"/>
  <c r="BP25" i="1"/>
  <c r="BL25" i="1"/>
  <c r="BH25" i="1"/>
  <c r="BC25" i="1"/>
  <c r="BS25" i="1"/>
  <c r="BG25" i="1"/>
  <c r="BU30" i="1"/>
  <c r="BQ30" i="1"/>
  <c r="BM30" i="1"/>
  <c r="BI30" i="1"/>
  <c r="BE30" i="1"/>
  <c r="AY30" i="1"/>
  <c r="BK30" i="1"/>
  <c r="BV30" i="1"/>
  <c r="BR30" i="1"/>
  <c r="BN30" i="1"/>
  <c r="BJ30" i="1"/>
  <c r="BF30" i="1"/>
  <c r="AZ30" i="1"/>
  <c r="BO30" i="1"/>
  <c r="BB30" i="1"/>
  <c r="BX30" i="1"/>
  <c r="BT30" i="1"/>
  <c r="BP30" i="1"/>
  <c r="BL30" i="1"/>
  <c r="BH30" i="1"/>
  <c r="BC30" i="1"/>
  <c r="BS30" i="1"/>
  <c r="BG30" i="1"/>
  <c r="BU27" i="1"/>
  <c r="BQ27" i="1"/>
  <c r="BM27" i="1"/>
  <c r="BI27" i="1"/>
  <c r="BE27" i="1"/>
  <c r="AY27" i="1"/>
  <c r="BO27" i="1"/>
  <c r="BB27" i="1"/>
  <c r="BV27" i="1"/>
  <c r="BR27" i="1"/>
  <c r="BN27" i="1"/>
  <c r="BJ27" i="1"/>
  <c r="BF27" i="1"/>
  <c r="AZ27" i="1"/>
  <c r="BS27" i="1"/>
  <c r="BK27" i="1"/>
  <c r="BX27" i="1"/>
  <c r="BT27" i="1"/>
  <c r="BP27" i="1"/>
  <c r="BL27" i="1"/>
  <c r="BH27" i="1"/>
  <c r="BC27" i="1"/>
  <c r="BG27" i="1"/>
  <c r="BU32" i="1"/>
  <c r="BQ32" i="1"/>
  <c r="BM32" i="1"/>
  <c r="BI32" i="1"/>
  <c r="BE32" i="1"/>
  <c r="AY32" i="1"/>
  <c r="BS32" i="1"/>
  <c r="BG32" i="1"/>
  <c r="BB32" i="1"/>
  <c r="BV32" i="1"/>
  <c r="BR32" i="1"/>
  <c r="BN32" i="1"/>
  <c r="BJ32" i="1"/>
  <c r="BF32" i="1"/>
  <c r="AZ32" i="1"/>
  <c r="BK32" i="1"/>
  <c r="BX32" i="1"/>
  <c r="BT32" i="1"/>
  <c r="BP32" i="1"/>
  <c r="BL32" i="1"/>
  <c r="BH32" i="1"/>
  <c r="BC32" i="1"/>
  <c r="BO32" i="1"/>
  <c r="BX16" i="1"/>
  <c r="BM16" i="1"/>
  <c r="BN16" i="1"/>
  <c r="BO16" i="1"/>
  <c r="BP16" i="1"/>
  <c r="BQ16" i="1"/>
  <c r="BR16" i="1"/>
  <c r="BS16" i="1"/>
  <c r="BT16" i="1"/>
  <c r="BU16" i="1"/>
  <c r="BV16" i="1"/>
  <c r="BL16" i="1"/>
  <c r="BK16" i="1"/>
  <c r="BJ16" i="1"/>
  <c r="BI16" i="1"/>
  <c r="BE16" i="1"/>
  <c r="BF16" i="1"/>
  <c r="BG16" i="1"/>
  <c r="BH16" i="1"/>
  <c r="BC16" i="1"/>
  <c r="BB16" i="1"/>
  <c r="AY16" i="1"/>
  <c r="AZ16" i="1"/>
  <c r="BU29" i="1"/>
  <c r="BQ29" i="1"/>
  <c r="BM29" i="1"/>
  <c r="BI29" i="1"/>
  <c r="BE29" i="1"/>
  <c r="AY29" i="1"/>
  <c r="BG29" i="1"/>
  <c r="BV29" i="1"/>
  <c r="BR29" i="1"/>
  <c r="BN29" i="1"/>
  <c r="BJ29" i="1"/>
  <c r="BF29" i="1"/>
  <c r="AZ29" i="1"/>
  <c r="BO29" i="1"/>
  <c r="BB29" i="1"/>
  <c r="BX29" i="1"/>
  <c r="BT29" i="1"/>
  <c r="BP29" i="1"/>
  <c r="BL29" i="1"/>
  <c r="BH29" i="1"/>
  <c r="BC29" i="1"/>
  <c r="BS29" i="1"/>
  <c r="BK29" i="1"/>
  <c r="BU34" i="1"/>
  <c r="BQ34" i="1"/>
  <c r="BM34" i="1"/>
  <c r="BI34" i="1"/>
  <c r="BE34" i="1"/>
  <c r="AY34" i="1"/>
  <c r="BS34" i="1"/>
  <c r="BK34" i="1"/>
  <c r="BB34" i="1"/>
  <c r="BV34" i="1"/>
  <c r="BR34" i="1"/>
  <c r="BN34" i="1"/>
  <c r="BJ34" i="1"/>
  <c r="BF34" i="1"/>
  <c r="AZ34" i="1"/>
  <c r="BO34" i="1"/>
  <c r="BG34" i="1"/>
  <c r="BX34" i="1"/>
  <c r="BT34" i="1"/>
  <c r="BP34" i="1"/>
  <c r="BL34" i="1"/>
  <c r="BH34" i="1"/>
  <c r="BC34" i="1"/>
  <c r="BU26" i="1"/>
  <c r="BQ26" i="1"/>
  <c r="BM26" i="1"/>
  <c r="BI26" i="1"/>
  <c r="BE26" i="1"/>
  <c r="AY26" i="1"/>
  <c r="BO26" i="1"/>
  <c r="BB26" i="1"/>
  <c r="BV26" i="1"/>
  <c r="BR26" i="1"/>
  <c r="BN26" i="1"/>
  <c r="BJ26" i="1"/>
  <c r="BF26" i="1"/>
  <c r="AZ26" i="1"/>
  <c r="BK26" i="1"/>
  <c r="BX26" i="1"/>
  <c r="BT26" i="1"/>
  <c r="BP26" i="1"/>
  <c r="BL26" i="1"/>
  <c r="BH26" i="1"/>
  <c r="BC26" i="1"/>
  <c r="BS26" i="1"/>
  <c r="BG26" i="1"/>
  <c r="BM15" i="1"/>
  <c r="BN15" i="1"/>
  <c r="BO15" i="1"/>
  <c r="BP15" i="1"/>
  <c r="BQ15" i="1"/>
  <c r="BR15" i="1"/>
  <c r="BS15" i="1"/>
  <c r="BT15" i="1"/>
  <c r="BU15" i="1"/>
  <c r="BV15" i="1"/>
  <c r="BL15" i="1"/>
  <c r="BK15" i="1"/>
  <c r="BJ15" i="1"/>
  <c r="BI15" i="1"/>
  <c r="BF15" i="1"/>
  <c r="BG15" i="1"/>
  <c r="BH15" i="1"/>
  <c r="BE15" i="1"/>
  <c r="BC15" i="1"/>
  <c r="BB15" i="1"/>
  <c r="AY15" i="1"/>
  <c r="AZ15" i="1"/>
  <c r="BU31" i="1"/>
  <c r="BQ31" i="1"/>
  <c r="BM31" i="1"/>
  <c r="BI31" i="1"/>
  <c r="BE31" i="1"/>
  <c r="AY31" i="1"/>
  <c r="BS31" i="1"/>
  <c r="BG31" i="1"/>
  <c r="BV31" i="1"/>
  <c r="BR31" i="1"/>
  <c r="BN31" i="1"/>
  <c r="BJ31" i="1"/>
  <c r="BF31" i="1"/>
  <c r="AZ31" i="1"/>
  <c r="BO31" i="1"/>
  <c r="BB31" i="1"/>
  <c r="BX31" i="1"/>
  <c r="BT31" i="1"/>
  <c r="BP31" i="1"/>
  <c r="BL31" i="1"/>
  <c r="BH31" i="1"/>
  <c r="BC31" i="1"/>
  <c r="BK31" i="1"/>
  <c r="BU28" i="1"/>
  <c r="BQ28" i="1"/>
  <c r="BM28" i="1"/>
  <c r="BI28" i="1"/>
  <c r="BE28" i="1"/>
  <c r="AY28" i="1"/>
  <c r="BS28" i="1"/>
  <c r="BG28" i="1"/>
  <c r="BV28" i="1"/>
  <c r="BR28" i="1"/>
  <c r="BN28" i="1"/>
  <c r="BJ28" i="1"/>
  <c r="BF28" i="1"/>
  <c r="AZ28" i="1"/>
  <c r="BO28" i="1"/>
  <c r="BB28" i="1"/>
  <c r="BX28" i="1"/>
  <c r="BT28" i="1"/>
  <c r="BP28" i="1"/>
  <c r="BL28" i="1"/>
  <c r="BH28" i="1"/>
  <c r="BC28" i="1"/>
  <c r="BK28" i="1"/>
  <c r="K66" i="1"/>
  <c r="BA33" i="1" s="1"/>
  <c r="N66" i="1"/>
  <c r="BD33" i="1" s="1"/>
  <c r="K58" i="1"/>
  <c r="BA25" i="1" s="1"/>
  <c r="N58" i="1"/>
  <c r="BD25" i="1" s="1"/>
  <c r="K63" i="1"/>
  <c r="BA30" i="1" s="1"/>
  <c r="N63" i="1"/>
  <c r="BD30" i="1" s="1"/>
  <c r="K60" i="1"/>
  <c r="BA27" i="1" s="1"/>
  <c r="N60" i="1"/>
  <c r="BD27" i="1" s="1"/>
  <c r="K65" i="1"/>
  <c r="BA32" i="1" s="1"/>
  <c r="N65" i="1"/>
  <c r="BD32" i="1" s="1"/>
  <c r="N37" i="1"/>
  <c r="BD16" i="1" s="1"/>
  <c r="K37" i="1"/>
  <c r="BA16" i="1" s="1"/>
  <c r="K62" i="1"/>
  <c r="BA29" i="1" s="1"/>
  <c r="N62" i="1"/>
  <c r="BD29" i="1" s="1"/>
  <c r="K67" i="1"/>
  <c r="BA34" i="1" s="1"/>
  <c r="N67" i="1"/>
  <c r="BD34" i="1" s="1"/>
  <c r="K59" i="1"/>
  <c r="BA26" i="1" s="1"/>
  <c r="N59" i="1"/>
  <c r="BD26" i="1" s="1"/>
  <c r="N36" i="1"/>
  <c r="BD15" i="1" s="1"/>
  <c r="K36" i="1"/>
  <c r="BA15" i="1" s="1"/>
  <c r="K64" i="1"/>
  <c r="BA31" i="1" s="1"/>
  <c r="N64" i="1"/>
  <c r="BD31" i="1" s="1"/>
  <c r="K61" i="1"/>
  <c r="BA28" i="1" s="1"/>
  <c r="N61" i="1"/>
  <c r="BD28" i="1" s="1"/>
  <c r="K80" i="1"/>
  <c r="BA35" i="1" s="1"/>
  <c r="N80" i="1"/>
  <c r="BD35" i="1" s="1"/>
  <c r="BX15" i="1"/>
  <c r="AQ16" i="1"/>
  <c r="AT16" i="1" s="1"/>
  <c r="AW15" i="1"/>
  <c r="AL80" i="1"/>
  <c r="AH80" i="1" s="1"/>
  <c r="AL45" i="1"/>
  <c r="AH45" i="1" s="1"/>
  <c r="AL44" i="1"/>
  <c r="AH44" i="1" s="1"/>
  <c r="AL66" i="1"/>
  <c r="AH66" i="1" s="1"/>
  <c r="AL58" i="1"/>
  <c r="AH58" i="1" s="1"/>
  <c r="AL63" i="1"/>
  <c r="AH63" i="1" s="1"/>
  <c r="AL60" i="1"/>
  <c r="AH60" i="1" s="1"/>
  <c r="AL62" i="1"/>
  <c r="AH62" i="1" s="1"/>
  <c r="AL67" i="1"/>
  <c r="AH67" i="1" s="1"/>
  <c r="AL59" i="1"/>
  <c r="AH59" i="1" s="1"/>
  <c r="AL65" i="1"/>
  <c r="AH65" i="1" s="1"/>
  <c r="AL64" i="1"/>
  <c r="AH64" i="1" s="1"/>
  <c r="AL61" i="1"/>
  <c r="AH61" i="1" s="1"/>
  <c r="AK112" i="1"/>
  <c r="AK113" i="1"/>
  <c r="AQ15" i="1" l="1"/>
  <c r="AT15" i="1" s="1"/>
  <c r="AU3" i="1" s="1"/>
  <c r="E12" i="1" s="1"/>
  <c r="O12" i="1" s="1"/>
  <c r="AL111" i="1"/>
  <c r="AH111" i="1" s="1"/>
  <c r="AL106" i="1"/>
  <c r="AH106" i="1" s="1"/>
  <c r="AL103" i="1"/>
  <c r="AH103" i="1" s="1"/>
  <c r="AL108" i="1"/>
  <c r="AH108" i="1" s="1"/>
  <c r="AL105" i="1"/>
  <c r="AH105" i="1" s="1"/>
  <c r="AL110" i="1"/>
  <c r="AH110" i="1" s="1"/>
  <c r="AL102" i="1"/>
  <c r="AH102" i="1" s="1"/>
  <c r="AL107" i="1"/>
  <c r="AH107" i="1" s="1"/>
  <c r="AL104" i="1"/>
  <c r="AH104" i="1" s="1"/>
  <c r="AL109" i="1"/>
  <c r="AH109" i="1" s="1"/>
  <c r="AL38" i="1"/>
  <c r="AH38" i="1" s="1"/>
  <c r="AL40" i="1"/>
  <c r="AH40" i="1" s="1"/>
  <c r="AL39" i="1"/>
  <c r="AH39" i="1" s="1"/>
  <c r="AL37" i="1"/>
  <c r="AH37" i="1" s="1"/>
  <c r="AL42" i="1"/>
  <c r="AH42" i="1" s="1"/>
  <c r="AL43" i="1"/>
  <c r="AH43" i="1" s="1"/>
  <c r="AL41" i="1"/>
  <c r="AH41" i="1" s="1"/>
  <c r="AL36" i="1"/>
  <c r="AH36" i="1" s="1"/>
  <c r="AG12" i="1" l="1"/>
  <c r="AJ12" i="1"/>
  <c r="K12" i="1"/>
  <c r="M12" i="1"/>
  <c r="N12" i="1"/>
  <c r="AI12" i="1"/>
  <c r="L12" i="1"/>
  <c r="X12" i="1"/>
  <c r="E21" i="1"/>
  <c r="G12" i="1"/>
  <c r="AL12" i="1" s="1"/>
  <c r="P12" i="1"/>
  <c r="V12" i="1"/>
  <c r="AE12" i="1"/>
  <c r="J12" i="1"/>
  <c r="E17" i="1"/>
  <c r="AJ17" i="1" s="1"/>
  <c r="AC12" i="1"/>
  <c r="Q12" i="1"/>
  <c r="E14" i="1"/>
  <c r="E16" i="1"/>
  <c r="AJ16" i="1" s="1"/>
  <c r="E18" i="1"/>
  <c r="AJ18" i="1" s="1"/>
  <c r="AF12" i="1"/>
  <c r="U12" i="1"/>
  <c r="Z12" i="1"/>
  <c r="F12" i="1"/>
  <c r="R12" i="1"/>
  <c r="E19" i="1"/>
  <c r="AJ19" i="1" s="1"/>
  <c r="H12" i="1"/>
  <c r="AA12" i="1"/>
  <c r="AB12" i="1"/>
  <c r="E20" i="1"/>
  <c r="AJ20" i="1" s="1"/>
  <c r="E13" i="1"/>
  <c r="AJ13" i="1" s="1"/>
  <c r="E15" i="1"/>
  <c r="AJ15" i="1" s="1"/>
  <c r="T12" i="1"/>
  <c r="Y12" i="1"/>
  <c r="AD12" i="1"/>
  <c r="I12" i="1"/>
  <c r="W12" i="1"/>
  <c r="AH12" i="1" l="1"/>
  <c r="AJ14" i="1"/>
  <c r="T14" i="1"/>
  <c r="G14" i="1"/>
  <c r="I14" i="1"/>
  <c r="K14" i="1"/>
  <c r="M14" i="1"/>
  <c r="O14" i="1"/>
  <c r="Q14" i="1"/>
  <c r="V14" i="1"/>
  <c r="X14" i="1"/>
  <c r="Z14" i="1"/>
  <c r="AB14" i="1"/>
  <c r="AD14" i="1"/>
  <c r="AF14" i="1"/>
  <c r="AI14" i="1"/>
  <c r="F14" i="1"/>
  <c r="H14" i="1"/>
  <c r="J14" i="1"/>
  <c r="L14" i="1"/>
  <c r="N14" i="1"/>
  <c r="P14" i="1"/>
  <c r="R14" i="1"/>
  <c r="U14" i="1"/>
  <c r="W14" i="1"/>
  <c r="Y14" i="1"/>
  <c r="AA14" i="1"/>
  <c r="AC14" i="1"/>
  <c r="AE14" i="1"/>
  <c r="AG14" i="1"/>
  <c r="I20" i="1"/>
  <c r="L20" i="1"/>
  <c r="AG16" i="1"/>
  <c r="I16" i="1"/>
  <c r="L16" i="1"/>
  <c r="I17" i="1"/>
  <c r="L17" i="1"/>
  <c r="AG13" i="1"/>
  <c r="I13" i="1"/>
  <c r="L13" i="1"/>
  <c r="T18" i="1"/>
  <c r="I18" i="1"/>
  <c r="L18" i="1"/>
  <c r="I19" i="1"/>
  <c r="L19" i="1"/>
  <c r="AG15" i="1"/>
  <c r="AG27" i="1" s="1"/>
  <c r="I15" i="1"/>
  <c r="I27" i="1" s="1"/>
  <c r="L15" i="1"/>
  <c r="AG20" i="1"/>
  <c r="AI20" i="1"/>
  <c r="AG19" i="1"/>
  <c r="AI19" i="1"/>
  <c r="AG17" i="1"/>
  <c r="AI17" i="1"/>
  <c r="AG18" i="1"/>
  <c r="AI18" i="1"/>
  <c r="K20" i="1"/>
  <c r="N20" i="1"/>
  <c r="M20" i="1"/>
  <c r="G19" i="1"/>
  <c r="N19" i="1"/>
  <c r="K19" i="1"/>
  <c r="M19" i="1"/>
  <c r="W16" i="1"/>
  <c r="K16" i="1"/>
  <c r="M16" i="1"/>
  <c r="N16" i="1"/>
  <c r="V17" i="1"/>
  <c r="N17" i="1"/>
  <c r="M17" i="1"/>
  <c r="K17" i="1"/>
  <c r="Q13" i="1"/>
  <c r="N13" i="1"/>
  <c r="M13" i="1"/>
  <c r="K13" i="1"/>
  <c r="H18" i="1"/>
  <c r="K18" i="1"/>
  <c r="M18" i="1"/>
  <c r="N18" i="1"/>
  <c r="N15" i="1"/>
  <c r="K15" i="1"/>
  <c r="K27" i="1" s="1"/>
  <c r="M15" i="1"/>
  <c r="S12" i="1"/>
  <c r="J18" i="1"/>
  <c r="U13" i="1"/>
  <c r="O17" i="1"/>
  <c r="U19" i="1"/>
  <c r="Y17" i="1"/>
  <c r="AF17" i="1"/>
  <c r="AA17" i="1"/>
  <c r="AD17" i="1"/>
  <c r="Z18" i="1"/>
  <c r="AC18" i="1"/>
  <c r="AB13" i="1"/>
  <c r="AE18" i="1"/>
  <c r="W19" i="1"/>
  <c r="W17" i="1"/>
  <c r="AB17" i="1"/>
  <c r="G17" i="1"/>
  <c r="U17" i="1"/>
  <c r="Z17" i="1"/>
  <c r="T17" i="1"/>
  <c r="Q17" i="1"/>
  <c r="AC19" i="1"/>
  <c r="AE17" i="1"/>
  <c r="J17" i="1"/>
  <c r="AC17" i="1"/>
  <c r="H17" i="1"/>
  <c r="AB19" i="1"/>
  <c r="R17" i="1"/>
  <c r="X17" i="1"/>
  <c r="F17" i="1"/>
  <c r="P17" i="1"/>
  <c r="G13" i="1"/>
  <c r="T16" i="1"/>
  <c r="W13" i="1"/>
  <c r="Z13" i="1"/>
  <c r="Q19" i="1"/>
  <c r="AD19" i="1"/>
  <c r="AE13" i="1"/>
  <c r="J13" i="1"/>
  <c r="T13" i="1"/>
  <c r="AC13" i="1"/>
  <c r="H13" i="1"/>
  <c r="Q18" i="1"/>
  <c r="W18" i="1"/>
  <c r="AB18" i="1"/>
  <c r="G18" i="1"/>
  <c r="U18" i="1"/>
  <c r="R13" i="1"/>
  <c r="X13" i="1"/>
  <c r="F13" i="1"/>
  <c r="P13" i="1"/>
  <c r="V13" i="1"/>
  <c r="V18" i="1"/>
  <c r="AA18" i="1"/>
  <c r="AF18" i="1"/>
  <c r="O18" i="1"/>
  <c r="Y18" i="1"/>
  <c r="AA13" i="1"/>
  <c r="AF13" i="1"/>
  <c r="O13" i="1"/>
  <c r="Y13" i="1"/>
  <c r="AD13" i="1"/>
  <c r="AD18" i="1"/>
  <c r="R18" i="1"/>
  <c r="X18" i="1"/>
  <c r="F18" i="1"/>
  <c r="P18" i="1"/>
  <c r="H16" i="1"/>
  <c r="AI16" i="1"/>
  <c r="AI13" i="1"/>
  <c r="AI15" i="1"/>
  <c r="AC20" i="1"/>
  <c r="Q20" i="1"/>
  <c r="T15" i="1"/>
  <c r="T27" i="1" s="1"/>
  <c r="H19" i="1"/>
  <c r="AE19" i="1"/>
  <c r="T19" i="1"/>
  <c r="U15" i="1"/>
  <c r="U27" i="1" s="1"/>
  <c r="T20" i="1"/>
  <c r="W20" i="1"/>
  <c r="AC16" i="1"/>
  <c r="Y19" i="1"/>
  <c r="Z19" i="1"/>
  <c r="J19" i="1"/>
  <c r="H20" i="1"/>
  <c r="Q16" i="1"/>
  <c r="Z15" i="1"/>
  <c r="Z27" i="1" s="1"/>
  <c r="R21" i="1"/>
  <c r="J15" i="1"/>
  <c r="J27" i="1" s="1"/>
  <c r="AE15" i="1"/>
  <c r="AE27" i="1" s="1"/>
  <c r="F21" i="1"/>
  <c r="AC15" i="1"/>
  <c r="AC27" i="1" s="1"/>
  <c r="W15" i="1"/>
  <c r="W27" i="1" s="1"/>
  <c r="F15" i="1"/>
  <c r="P15" i="1"/>
  <c r="P27" i="1" s="1"/>
  <c r="V15" i="1"/>
  <c r="V27" i="1" s="1"/>
  <c r="AA15" i="1"/>
  <c r="AA27" i="1" s="1"/>
  <c r="AF15" i="1"/>
  <c r="AF27" i="1" s="1"/>
  <c r="O15" i="1"/>
  <c r="O27" i="1" s="1"/>
  <c r="AF21" i="1"/>
  <c r="Y21" i="1"/>
  <c r="Y15" i="1"/>
  <c r="Y27" i="1" s="1"/>
  <c r="AD15" i="1"/>
  <c r="AD27" i="1" s="1"/>
  <c r="R15" i="1"/>
  <c r="R27" i="1" s="1"/>
  <c r="X15" i="1"/>
  <c r="X27" i="1" s="1"/>
  <c r="AA21" i="1"/>
  <c r="O21" i="1"/>
  <c r="H15" i="1"/>
  <c r="Q15" i="1"/>
  <c r="Q27" i="1" s="1"/>
  <c r="AB15" i="1"/>
  <c r="AB27" i="1" s="1"/>
  <c r="G15" i="1"/>
  <c r="X21" i="1"/>
  <c r="V21" i="1"/>
  <c r="R19" i="1"/>
  <c r="X19" i="1"/>
  <c r="X20" i="1"/>
  <c r="F20" i="1"/>
  <c r="P20" i="1"/>
  <c r="V20" i="1"/>
  <c r="AA20" i="1"/>
  <c r="X16" i="1"/>
  <c r="F16" i="1"/>
  <c r="P16" i="1"/>
  <c r="V16" i="1"/>
  <c r="AA16" i="1"/>
  <c r="AB20" i="1"/>
  <c r="G20" i="1"/>
  <c r="S20" i="1" s="1"/>
  <c r="U20" i="1"/>
  <c r="Z20" i="1"/>
  <c r="AE20" i="1"/>
  <c r="J20" i="1"/>
  <c r="AB16" i="1"/>
  <c r="G16" i="1"/>
  <c r="U16" i="1"/>
  <c r="Z16" i="1"/>
  <c r="AE16" i="1"/>
  <c r="J16" i="1"/>
  <c r="F19" i="1"/>
  <c r="P19" i="1"/>
  <c r="V19" i="1"/>
  <c r="AA19" i="1"/>
  <c r="AF19" i="1"/>
  <c r="O19" i="1"/>
  <c r="AF20" i="1"/>
  <c r="O20" i="1"/>
  <c r="Y20" i="1"/>
  <c r="AD20" i="1"/>
  <c r="R20" i="1"/>
  <c r="AF16" i="1"/>
  <c r="O16" i="1"/>
  <c r="Y16" i="1"/>
  <c r="AD16" i="1"/>
  <c r="R16" i="1"/>
  <c r="W21" i="1"/>
  <c r="AB21" i="1"/>
  <c r="G21" i="1"/>
  <c r="AH21" i="1" s="1"/>
  <c r="P21" i="1"/>
  <c r="Q21" i="1"/>
  <c r="AE21" i="1"/>
  <c r="J21" i="1"/>
  <c r="T21" i="1"/>
  <c r="AC21" i="1"/>
  <c r="AD21" i="1"/>
  <c r="H21" i="1"/>
  <c r="I21" i="1"/>
  <c r="U21" i="1"/>
  <c r="Z21" i="1"/>
  <c r="P26" i="1" l="1"/>
  <c r="I3" i="3"/>
  <c r="O26" i="1"/>
  <c r="Y26" i="1"/>
  <c r="AF26" i="1"/>
  <c r="X26" i="1"/>
  <c r="AC26" i="1"/>
  <c r="Z26" i="1"/>
  <c r="U26" i="1"/>
  <c r="AD26" i="1"/>
  <c r="AA26" i="1"/>
  <c r="V26" i="1"/>
  <c r="R26" i="1"/>
  <c r="T26" i="1"/>
  <c r="AE26" i="1"/>
  <c r="W26" i="1"/>
  <c r="AB26" i="1"/>
  <c r="Q26" i="1"/>
  <c r="AG26" i="1"/>
  <c r="H24" i="1"/>
  <c r="S14" i="1"/>
  <c r="AH14" i="1"/>
  <c r="AH19" i="1"/>
  <c r="S19" i="1"/>
  <c r="AL19" i="1"/>
  <c r="S18" i="1"/>
  <c r="S17" i="1"/>
  <c r="M24" i="1"/>
  <c r="N24" i="1"/>
  <c r="K24" i="1"/>
  <c r="AL13" i="1"/>
  <c r="S13" i="1"/>
  <c r="S16" i="1"/>
  <c r="S15" i="1"/>
  <c r="AH20" i="1"/>
  <c r="AH18" i="1"/>
  <c r="AH17" i="1"/>
  <c r="S24" i="1"/>
  <c r="AL16" i="1"/>
  <c r="AH16" i="1"/>
  <c r="AL15" i="1"/>
  <c r="AH15" i="1"/>
  <c r="AL14" i="1"/>
  <c r="AH13" i="1"/>
  <c r="L24" i="1"/>
  <c r="AL17" i="1"/>
  <c r="AL18" i="1"/>
  <c r="I24" i="1"/>
  <c r="AL21" i="1"/>
  <c r="J24" i="1"/>
  <c r="AL20" i="1"/>
  <c r="I4" i="3" l="1"/>
  <c r="O24" i="1"/>
  <c r="Q24" i="1"/>
</calcChain>
</file>

<file path=xl/sharedStrings.xml><?xml version="1.0" encoding="utf-8"?>
<sst xmlns="http://schemas.openxmlformats.org/spreadsheetml/2006/main" count="829" uniqueCount="272">
  <si>
    <t>CV1_Charge_Number</t>
  </si>
  <si>
    <t>CV1_Cu_ToFurnace</t>
  </si>
  <si>
    <t>FROM</t>
  </si>
  <si>
    <t>TO</t>
  </si>
  <si>
    <t>CYCLE</t>
  </si>
  <si>
    <t>MATTE TREATED</t>
  </si>
  <si>
    <t>R E V E R T S   T R E A T E D</t>
  </si>
  <si>
    <t>Matte Skull</t>
  </si>
  <si>
    <t>Scatters</t>
  </si>
  <si>
    <t>White Metal</t>
  </si>
  <si>
    <t>Dore Reverts</t>
  </si>
  <si>
    <t>MMS Blister</t>
  </si>
  <si>
    <t>Cu Skull</t>
  </si>
  <si>
    <t>AF Slag</t>
  </si>
  <si>
    <t>Reject Anodes</t>
  </si>
  <si>
    <t>Reject Cathodes</t>
  </si>
  <si>
    <t>Casting Scrap</t>
  </si>
  <si>
    <t>Cu Mould</t>
  </si>
  <si>
    <t>Scrap Anode</t>
  </si>
  <si>
    <t>Deposit A</t>
  </si>
  <si>
    <t>Nixon Fork</t>
  </si>
  <si>
    <t>HGS</t>
  </si>
  <si>
    <t>Katanga</t>
  </si>
  <si>
    <t>Mexican Cu Cement</t>
  </si>
  <si>
    <t>SLAG BLOW</t>
  </si>
  <si>
    <t>Cu BLOW</t>
  </si>
  <si>
    <t>CV2_Matte_skulls_Smelted</t>
  </si>
  <si>
    <t>CV2_Scatters_Smelted</t>
  </si>
  <si>
    <t>CV2_Dore_Reverts_NB_Smelted</t>
  </si>
  <si>
    <t>CV2_MMSBlister_Smelted</t>
  </si>
  <si>
    <t>CV2_Cskulls_Smelted</t>
  </si>
  <si>
    <t>CV2_AFSlag_Charged</t>
  </si>
  <si>
    <t>CV2_RJCT_Anode_Smelted</t>
  </si>
  <si>
    <t>CV2_RJCT_Cathode_Smelted</t>
  </si>
  <si>
    <t>CV2_Casting_Scrap_Smelted</t>
  </si>
  <si>
    <t>CV2_CMould_Smelted</t>
  </si>
  <si>
    <t>CV2_ScrapAnode_Smelted</t>
  </si>
  <si>
    <t>CV2_Dep_A_B_Smelted</t>
  </si>
  <si>
    <t>CV2_Nixon Fork_Smelted</t>
  </si>
  <si>
    <t>CV2_ColdCu_Smelted</t>
  </si>
  <si>
    <t>CV2_HGS_Smelted</t>
  </si>
  <si>
    <t>CV2_Katanga_Smelted</t>
  </si>
  <si>
    <t>CV2_Mexican_Cu_Smelted</t>
  </si>
  <si>
    <t>CF 2</t>
  </si>
  <si>
    <t>CF 1</t>
  </si>
  <si>
    <t>CF 3</t>
  </si>
  <si>
    <t>CF 4</t>
  </si>
  <si>
    <t>CV2_Charge_Number</t>
  </si>
  <si>
    <t>CV2_Cu_ToFurnace</t>
  </si>
  <si>
    <t>CV2_Matte_Converted</t>
  </si>
  <si>
    <t>CV1_Matte_Converted</t>
  </si>
  <si>
    <t>CV1_Matte_skulls_Smelted</t>
  </si>
  <si>
    <t>CV1_Scatters_Smelted</t>
  </si>
  <si>
    <t>CV1_Dore_Reverts_NB_Smelted</t>
  </si>
  <si>
    <t>CV1_MMSBlister_Smelted</t>
  </si>
  <si>
    <t>CV1_Cskulls_Smelted</t>
  </si>
  <si>
    <t>CV1_AFSlag_Charged</t>
  </si>
  <si>
    <t>CV1_RJCT_Anode_Smelted</t>
  </si>
  <si>
    <t>CV1_RJCT_Cathode_Smelted</t>
  </si>
  <si>
    <t>CV1_Casting_Scrap_Smelted</t>
  </si>
  <si>
    <t>CV1_CMould_Smelted</t>
  </si>
  <si>
    <t>CV1_ScrapAnode_Smelted</t>
  </si>
  <si>
    <t>CV1_Dep_A_B_Smelted</t>
  </si>
  <si>
    <t>CV1_Nixon Fork_Smelted</t>
  </si>
  <si>
    <t>CV1_HGS_Smelted</t>
  </si>
  <si>
    <t>CV1_Katanga_Smelted</t>
  </si>
  <si>
    <t>CV1_Mexican_Cu_Smelted</t>
  </si>
  <si>
    <t>CV1_ColdCu_Smelted</t>
  </si>
  <si>
    <t>CV3_Charge_Number</t>
  </si>
  <si>
    <t>CV3_Cu_ToFurnace</t>
  </si>
  <si>
    <t>CV3_Matte_Converted</t>
  </si>
  <si>
    <t>CV3_Matte_skulls_Smelted</t>
  </si>
  <si>
    <t>CV3_Scatters_Smelted</t>
  </si>
  <si>
    <t>CV3_Dore_Reverts_NB_Smelted</t>
  </si>
  <si>
    <t>CV3_MMSBlister_Smelted</t>
  </si>
  <si>
    <t>CV3_Cskulls_Smelted</t>
  </si>
  <si>
    <t>CV3_AFSlag_Charged</t>
  </si>
  <si>
    <t>CV3_RJCT_Anode_Smelted</t>
  </si>
  <si>
    <t>CV3_RJCT_Cathode_Smelted</t>
  </si>
  <si>
    <t>CV3_Casting_Scrap_Smelted</t>
  </si>
  <si>
    <t>CV3_CMould_Smelted</t>
  </si>
  <si>
    <t>CV3_ScrapAnode_Smelted</t>
  </si>
  <si>
    <t>CV3_Dep_A_B_Smelted</t>
  </si>
  <si>
    <t>CV3_Nixon Fork_Smelted</t>
  </si>
  <si>
    <t>CV3_HGS_Smelted</t>
  </si>
  <si>
    <t>CV3_Katanga_Smelted</t>
  </si>
  <si>
    <t>CV3_Mexican_Cu_Smelted</t>
  </si>
  <si>
    <t>CV3_ColdCu_Smelted</t>
  </si>
  <si>
    <t>CV4_Charge_Number</t>
  </si>
  <si>
    <t>CV4_Cu_ToFurnace</t>
  </si>
  <si>
    <t>CV4_Matte_Converted</t>
  </si>
  <si>
    <t>CV4_Matte_skulls_Smelted</t>
  </si>
  <si>
    <t>CV4_Scatters_Smelted</t>
  </si>
  <si>
    <t>CV4_Dore_Reverts_NB_Smelted</t>
  </si>
  <si>
    <t>CV4_MMSBlister_Smelted</t>
  </si>
  <si>
    <t>CV4_Cskulls_Smelted</t>
  </si>
  <si>
    <t>CV4_AFSlag_Charged</t>
  </si>
  <si>
    <t>CV4_RJCT_Anode_Smelted</t>
  </si>
  <si>
    <t>CV4_RJCT_Cathode_Smelted</t>
  </si>
  <si>
    <t>CV4_Casting_Scrap_Smelted</t>
  </si>
  <si>
    <t>CV4_CMould_Smelted</t>
  </si>
  <si>
    <t>CV4_ScrapAnode_Smelted</t>
  </si>
  <si>
    <t>CV4_Dep_A_B_Smelted</t>
  </si>
  <si>
    <t>CV4_Nixon Fork_Smelted</t>
  </si>
  <si>
    <t>CV4_HGS_Smelted</t>
  </si>
  <si>
    <t>CV4_Katanga_Smelted</t>
  </si>
  <si>
    <t>CV4_Mexican_Cu_Smelted</t>
  </si>
  <si>
    <t>CV4_ColdCu_Smelted</t>
  </si>
  <si>
    <t>CF1</t>
  </si>
  <si>
    <t>CF2</t>
  </si>
  <si>
    <t>CF3</t>
  </si>
  <si>
    <t>CF4</t>
  </si>
  <si>
    <t>TIMESTAMP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</si>
  <si>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</si>
  <si>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</si>
  <si>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</si>
  <si>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</si>
  <si>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</si>
  <si>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</si>
  <si>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</si>
  <si>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</si>
  <si>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</si>
  <si>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</si>
  <si>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</si>
  <si>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</si>
  <si>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</si>
  <si>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</si>
  <si>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</si>
  <si>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</si>
  <si>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</si>
  <si>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</si>
  <si>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</si>
  <si>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</si>
  <si>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</si>
  <si>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</si>
  <si>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</si>
  <si>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</si>
  <si>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</si>
  <si>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</si>
  <si>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</si>
  <si>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</si>
  <si>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</si>
  <si>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</si>
  <si>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</si>
  <si>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</si>
  <si>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</si>
  <si>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</si>
  <si>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</si>
  <si>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</si>
  <si>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</si>
  <si>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</si>
  <si>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</si>
  <si>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CF Number</t>
  </si>
  <si>
    <t>Number of Cycles</t>
  </si>
  <si>
    <t>CV1_Total_Silica_Added</t>
  </si>
  <si>
    <t>Silica Quartz</t>
  </si>
  <si>
    <t>CV2_Total_Silica_Added</t>
  </si>
  <si>
    <t>CV3_Total_Silica_Added</t>
  </si>
  <si>
    <t>CV4_Total_Silica_Added</t>
  </si>
  <si>
    <t>Silica Consumption</t>
  </si>
  <si>
    <t>MATTE PRODUCED</t>
  </si>
  <si>
    <t>MATTE SKULL PRODUCTION</t>
  </si>
  <si>
    <t>BLISTER PRODUCED</t>
  </si>
  <si>
    <t>BLISTER TREATED</t>
  </si>
  <si>
    <t>BLISTER SKULL PRODUCTION</t>
  </si>
  <si>
    <t>Total</t>
  </si>
  <si>
    <t>TOTAL</t>
  </si>
  <si>
    <t>REVERTS TREATED</t>
  </si>
  <si>
    <t>Silicia Consumption</t>
  </si>
  <si>
    <t>M A T T E</t>
  </si>
  <si>
    <t>B L I S T E R</t>
  </si>
  <si>
    <t>CV1_FSFE_Matte</t>
  </si>
  <si>
    <t>CV1_AF_Blister</t>
  </si>
  <si>
    <t>CV1_Wmetal_SlagBlow</t>
  </si>
  <si>
    <t>CV1_Wmetal_CuBlow</t>
  </si>
  <si>
    <t>CV2_FSFE_Matte</t>
  </si>
  <si>
    <t>CV2_AF_Blister</t>
  </si>
  <si>
    <t>CV2_Wmetal_SlagBlow</t>
  </si>
  <si>
    <t>CV2_Wmetal_CuBlow</t>
  </si>
  <si>
    <t>CV3_FSFE_Matte</t>
  </si>
  <si>
    <t>CV3_AF_Blister</t>
  </si>
  <si>
    <t>CV3_Wmetal_SlagBlow</t>
  </si>
  <si>
    <t>CV3_Wmetal_CuBlow</t>
  </si>
  <si>
    <t>CV4_FSFE_Matte</t>
  </si>
  <si>
    <t>CV4_AF_Blister</t>
  </si>
  <si>
    <t>CV4_Wmetal_SlagBlow</t>
  </si>
  <si>
    <t>CV4_Wmetal_CuBlow</t>
  </si>
  <si>
    <t>13</t>
  </si>
  <si>
    <t xml:space="preserve">MATTE SKULL </t>
  </si>
  <si>
    <t>WHITE METAL</t>
  </si>
  <si>
    <t>ANODE SCRAP</t>
  </si>
  <si>
    <t>DEPOSIT A/B</t>
  </si>
  <si>
    <t>REJECT ANODE</t>
  </si>
  <si>
    <t>CASTING SCRAPS</t>
  </si>
  <si>
    <t>REJECT Cu MOLD</t>
  </si>
  <si>
    <t>COPPER SKULL</t>
  </si>
  <si>
    <t>HIGH GRADE SCATTERS</t>
  </si>
  <si>
    <t>REJECT CATHODES</t>
  </si>
  <si>
    <t>DORE REVERTS</t>
  </si>
  <si>
    <t>KATANGA</t>
  </si>
  <si>
    <t>MMS BLISTER</t>
  </si>
  <si>
    <t>NIXON FORK</t>
  </si>
  <si>
    <t>mexican cu cement</t>
  </si>
  <si>
    <t>oversized scatters</t>
  </si>
  <si>
    <t>ladles</t>
  </si>
  <si>
    <t>CV1_Cu_Recovery</t>
  </si>
  <si>
    <t>CV2_Cu_Recovery</t>
  </si>
  <si>
    <t>CV3_Cu_Recovery</t>
  </si>
  <si>
    <t>CV4_Cu_Recovery</t>
  </si>
  <si>
    <t>Cu Recovery</t>
  </si>
  <si>
    <t>No. Of Cycles</t>
  </si>
  <si>
    <t>FSFE Matte</t>
  </si>
  <si>
    <t>CF Matte</t>
  </si>
  <si>
    <t>SB Secondaries</t>
  </si>
  <si>
    <t>CB Secondaries</t>
  </si>
  <si>
    <t>Blister</t>
  </si>
  <si>
    <t>Mopani Reverts</t>
  </si>
  <si>
    <t>Mutanda Scrap</t>
  </si>
  <si>
    <t>CV1_Scatters_SlagBlow</t>
  </si>
  <si>
    <t>Mopani Revets</t>
  </si>
  <si>
    <t>CV1_Mopani_Reverts</t>
  </si>
  <si>
    <t>CV1_Scatters_CuBlow</t>
  </si>
  <si>
    <t>Nixon</t>
  </si>
  <si>
    <t>CV1_Mutanda</t>
  </si>
  <si>
    <t>CV2_Scatters_SlagBlow</t>
  </si>
  <si>
    <t>CV2_Mopani_Reverts</t>
  </si>
  <si>
    <t>CV2_Scatters_CuBlow</t>
  </si>
  <si>
    <t>CV2_Mutanda</t>
  </si>
  <si>
    <t>CV3_Scatters_SlagBlow</t>
  </si>
  <si>
    <t>CV3_Mopani_Reverts</t>
  </si>
  <si>
    <t>CV3_Scatters_CuBlow</t>
  </si>
  <si>
    <t>CV3_Mutanda</t>
  </si>
  <si>
    <t>CV4_Scatters_SlagBlow</t>
  </si>
  <si>
    <t>CV4_Mopani_Reverts</t>
  </si>
  <si>
    <t>CV4_Scatters_CuBlow</t>
  </si>
  <si>
    <t>CV4_Mutanda</t>
  </si>
  <si>
    <t>FTS</t>
  </si>
  <si>
    <t>Matte produced</t>
  </si>
  <si>
    <t>Treated</t>
  </si>
  <si>
    <t>CV1_Slag_ToSandbed</t>
  </si>
  <si>
    <t>CV2_Slag_ToSandbed</t>
  </si>
  <si>
    <t>CV3_Slag_ToSandbed</t>
  </si>
  <si>
    <t>CV4_Slag_ToSandbed</t>
  </si>
  <si>
    <t>CF slag</t>
  </si>
  <si>
    <t>CF Slag</t>
  </si>
  <si>
    <t>Slag</t>
  </si>
  <si>
    <t>MATTE GRADE</t>
  </si>
  <si>
    <t>CV1_WAMG</t>
  </si>
  <si>
    <t>CV2_WAMG</t>
  </si>
  <si>
    <t>CV3_WAMG</t>
  </si>
  <si>
    <t>CV4_WAMG</t>
  </si>
  <si>
    <t>cpaler</t>
  </si>
  <si>
    <t>s</t>
  </si>
  <si>
    <t>Theoretical Silica</t>
  </si>
  <si>
    <t>Casting Slime</t>
  </si>
  <si>
    <t>CV1_cslimes</t>
  </si>
  <si>
    <t>CV2_cslimes</t>
  </si>
  <si>
    <t>CV3_cslimes</t>
  </si>
  <si>
    <t>CV4_cslimes</t>
  </si>
  <si>
    <t>Castting Slime</t>
  </si>
  <si>
    <t>CV1_Theoretical_Silica</t>
  </si>
  <si>
    <t>CV4_Theoretical_Silica</t>
  </si>
  <si>
    <t>CV3_Theoretical_Silica</t>
  </si>
  <si>
    <t>CV2_Theoretical_Silica</t>
  </si>
  <si>
    <t>Theo Silica</t>
  </si>
  <si>
    <t>Silica</t>
  </si>
  <si>
    <t>CV1_MIM_Slime</t>
  </si>
  <si>
    <t>MIM Slime</t>
  </si>
  <si>
    <t>CV2_MIM_Slime</t>
  </si>
  <si>
    <t>CV3_MIM_Slime</t>
  </si>
  <si>
    <t>CV4_MIM_Slime</t>
  </si>
  <si>
    <t>MIM Sliime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</si>
</sst>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(* #,##0_);_(* \(#,##0\);_(* &quot;-&quot;_);_(@_)"/>
    <numFmt numFmtId="43" formatCode="_(* #,##0.00_);_(* \(#,##0.00\);_(* &quot;-&quot;??_);_(@_)"/>
    <numFmt numFmtId="164" formatCode="dd\-mmm\-yy\ hh:mm:ss"/>
    <numFmt numFmtId="165" formatCode="dd\-mmm\-yy\ hh:mm"/>
    <numFmt numFmtId="166" formatCode="0.0"/>
    <numFmt numFmtId="167" formatCode="_(* #,##0.0_);_(* \(#,##0.0\);_(* &quot;-&quot;??_);_(@_)"/>
    <numFmt numFmtId="168" formatCode="dd\-mmm\-yy\ hh:mm\ AM/PM"/>
    <numFmt numFmtId="169" formatCode="#,##0.000"/>
    <numFmt numFmtId="170" formatCode="0.0%"/>
    <numFmt numFmtId="171" formatCode="_(* #,##0.000_);_(* \(#,##0.000\);_(* &quot;-&quot;??_);_(@_)"/>
    <numFmt numFmtId="172" formatCode="0.00_);\(0.00\)"/>
    <numFmt numFmtId="173" formatCode="_(* #,##0_);_(* \(#,##0\);_(* &quot;-&quot;??_);_(@_)"/>
    <numFmt numFmtId="174" formatCode="0.00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8"/>
      <color theme="1"/>
      <name val="Arial"/>
      <family val="2"/>
    </font>
    <font>
      <b/>
      <sz val="24"/>
      <color theme="1"/>
      <name val="Arial"/>
      <family val="2"/>
    </font>
    <font>
      <i/>
      <sz val="16"/>
      <color theme="1"/>
      <name val="Arial Narrow"/>
      <family val="2"/>
    </font>
    <font>
      <sz val="11"/>
      <color theme="0"/>
      <name val="Arial"/>
      <family val="2"/>
    </font>
    <font>
      <sz val="10"/>
      <name val="Times New Roman"/>
      <family val="1"/>
    </font>
    <font>
      <sz val="11"/>
      <color theme="1"/>
      <name val="Cambria"/>
      <family val="1"/>
      <scheme val="major"/>
    </font>
    <font>
      <b/>
      <sz val="18"/>
      <color theme="1"/>
      <name val="Arial"/>
      <family val="2"/>
    </font>
    <font>
      <i/>
      <sz val="14"/>
      <color theme="1"/>
      <name val="Arial Narrow"/>
      <family val="2"/>
    </font>
    <font>
      <sz val="11"/>
      <color theme="0" tint="-4.9989318521683403E-2"/>
      <name val="Arial"/>
      <family val="2"/>
    </font>
    <font>
      <b/>
      <sz val="14"/>
      <color theme="0" tint="-4.9989318521683403E-2"/>
      <name val="Arial"/>
      <family val="2"/>
    </font>
    <font>
      <b/>
      <sz val="12"/>
      <color theme="0" tint="-4.9989318521683403E-2"/>
      <name val="Arial"/>
      <family val="2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249977111117893"/>
      <name val="Arial"/>
      <family val="2"/>
    </font>
    <font>
      <b/>
      <sz val="14"/>
      <color theme="0"/>
      <name val="Arial"/>
      <family val="2"/>
    </font>
    <font>
      <sz val="10"/>
      <color theme="2" tint="-0.89999084444715716"/>
      <name val="Arial"/>
      <family val="2"/>
    </font>
    <font>
      <sz val="11"/>
      <color theme="2" tint="-0.89999084444715716"/>
      <name val="Arial"/>
      <family val="2"/>
    </font>
    <font>
      <b/>
      <i/>
      <sz val="20"/>
      <color theme="1"/>
      <name val="Arial"/>
      <family val="2"/>
    </font>
    <font>
      <sz val="8"/>
      <color rgb="FF0000FF"/>
      <name val="Arial"/>
      <family val="2"/>
    </font>
    <font>
      <b/>
      <sz val="8"/>
      <color rgb="FF00B050"/>
      <name val="Arial"/>
      <family val="2"/>
    </font>
    <font>
      <b/>
      <sz val="8"/>
      <color theme="1"/>
      <name val="Arial"/>
      <family val="2"/>
    </font>
    <font>
      <sz val="11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 tint="-0.14999847407452621"/>
      <name val="Arial"/>
      <family val="2"/>
    </font>
    <font>
      <b/>
      <sz val="14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b/>
      <sz val="16"/>
      <color theme="0" tint="-0.14999847407452621"/>
      <name val="Arial"/>
      <family val="2"/>
    </font>
    <font>
      <sz val="11"/>
      <name val="Arial"/>
      <family val="2"/>
    </font>
    <font>
      <sz val="11"/>
      <name val="Cambria"/>
      <family val="1"/>
      <scheme val="major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8"/>
      <color theme="1"/>
      <name val="Calibri"/>
      <family val="2"/>
      <scheme val="minor"/>
    </font>
    <font>
      <i/>
      <sz val="14"/>
      <color theme="1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10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medium">
        <color theme="1" tint="0.24994659260841701"/>
      </right>
      <top style="thin">
        <color indexed="64"/>
      </top>
      <bottom style="medium">
        <color theme="1" tint="0.24994659260841701"/>
      </bottom>
      <diagonal/>
    </border>
    <border>
      <left style="thin">
        <color theme="0" tint="-0.499984740745262"/>
      </left>
      <right style="medium">
        <color theme="1" tint="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0" tint="-0.499984740745262"/>
      </right>
      <top style="thin">
        <color theme="1" tint="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 tint="0.34998626667073579"/>
      </top>
      <bottom/>
      <diagonal/>
    </border>
    <border>
      <left style="thin">
        <color theme="0" tint="-0.499984740745262"/>
      </left>
      <right/>
      <top style="thin">
        <color theme="1" tint="0.34998626667073579"/>
      </top>
      <bottom style="thin">
        <color theme="0" tint="-0.499984740745262"/>
      </bottom>
      <diagonal/>
    </border>
    <border>
      <left/>
      <right/>
      <top style="thin">
        <color theme="1" tint="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0" tint="-0.499984740745262"/>
      </bottom>
      <diagonal/>
    </border>
    <border>
      <left/>
      <right style="thin">
        <color theme="1" tint="0.34998626667073579"/>
      </right>
      <top/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1" tint="0.34998626667073579"/>
      </right>
      <top style="thin">
        <color theme="0" tint="-0.499984740745262"/>
      </top>
      <bottom/>
      <diagonal/>
    </border>
    <border>
      <left style="thin">
        <color theme="1" tint="0.34998626667073579"/>
      </left>
      <right style="thin">
        <color theme="0" tint="-0.499984740745262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34998626667073579"/>
      </right>
      <top/>
      <bottom/>
      <diagonal/>
    </border>
    <border>
      <left style="thin">
        <color theme="0" tint="-0.499984740745262"/>
      </left>
      <right style="thin">
        <color theme="0" tint="-0.34998626667073579"/>
      </right>
      <top/>
      <bottom style="thin">
        <color indexed="64"/>
      </bottom>
      <diagonal/>
    </border>
  </borders>
  <cellStyleXfs count="10">
    <xf numFmtId="0" fontId="0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9" fillId="0" borderId="0"/>
    <xf numFmtId="0" fontId="16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</cellStyleXfs>
  <cellXfs count="425">
    <xf numFmtId="0" fontId="0" fillId="0" borderId="0" xfId="0"/>
    <xf numFmtId="0" fontId="4" fillId="3" borderId="2" xfId="0" quotePrefix="1" applyFont="1" applyFill="1" applyBorder="1" applyAlignment="1">
      <alignment horizontal="center" vertical="center" wrapText="1"/>
    </xf>
    <xf numFmtId="0" fontId="10" fillId="3" borderId="2" xfId="3" applyNumberFormat="1" applyFont="1" applyFill="1" applyBorder="1" applyAlignment="1">
      <alignment vertical="top" wrapText="1"/>
    </xf>
    <xf numFmtId="0" fontId="2" fillId="3" borderId="0" xfId="0" applyFont="1" applyFill="1"/>
    <xf numFmtId="0" fontId="1" fillId="3" borderId="0" xfId="0" applyFont="1" applyFill="1"/>
    <xf numFmtId="22" fontId="2" fillId="2" borderId="13" xfId="0" applyNumberFormat="1" applyFont="1" applyFill="1" applyBorder="1" applyAlignment="1">
      <alignment horizontal="left" vertical="center" indent="1"/>
    </xf>
    <xf numFmtId="0" fontId="0" fillId="3" borderId="0" xfId="0" applyFill="1"/>
    <xf numFmtId="0" fontId="4" fillId="3" borderId="0" xfId="0" applyFont="1" applyFill="1" applyAlignment="1">
      <alignment horizontal="center" vertical="top" wrapText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/>
    </xf>
    <xf numFmtId="0" fontId="15" fillId="3" borderId="0" xfId="0" applyFont="1" applyFill="1"/>
    <xf numFmtId="0" fontId="2" fillId="3" borderId="0" xfId="0" applyFont="1" applyFill="1" applyBorder="1" applyAlignment="1">
      <alignment horizontal="center" vertical="center"/>
    </xf>
    <xf numFmtId="164" fontId="4" fillId="3" borderId="0" xfId="0" applyNumberFormat="1" applyFont="1" applyFill="1" applyBorder="1" applyAlignment="1">
      <alignment horizontal="center" vertical="center"/>
    </xf>
    <xf numFmtId="0" fontId="2" fillId="3" borderId="0" xfId="0" applyFont="1" applyFill="1" applyBorder="1"/>
    <xf numFmtId="0" fontId="0" fillId="3" borderId="0" xfId="0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top" wrapText="1"/>
    </xf>
    <xf numFmtId="0" fontId="15" fillId="3" borderId="0" xfId="0" applyFont="1" applyFill="1" applyAlignment="1">
      <alignment vertical="center"/>
    </xf>
    <xf numFmtId="0" fontId="14" fillId="3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/>
    <xf numFmtId="0" fontId="15" fillId="3" borderId="0" xfId="0" applyFont="1" applyFill="1" applyBorder="1"/>
    <xf numFmtId="0" fontId="4" fillId="3" borderId="0" xfId="0" applyFont="1" applyFill="1" applyAlignment="1">
      <alignment horizontal="center" vertical="center" wrapText="1"/>
    </xf>
    <xf numFmtId="0" fontId="4" fillId="3" borderId="0" xfId="0" applyNumberFormat="1" applyFont="1" applyFill="1" applyAlignment="1">
      <alignment horizontal="center" vertical="center" wrapText="1"/>
    </xf>
    <xf numFmtId="0" fontId="2" fillId="3" borderId="0" xfId="0" applyNumberFormat="1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2" fontId="4" fillId="3" borderId="0" xfId="0" applyNumberFormat="1" applyFont="1" applyFill="1" applyBorder="1" applyAlignment="1">
      <alignment horizontal="center" vertical="center"/>
    </xf>
    <xf numFmtId="2" fontId="4" fillId="3" borderId="22" xfId="0" applyNumberFormat="1" applyFont="1" applyFill="1" applyBorder="1" applyAlignment="1">
      <alignment horizontal="center" vertical="center"/>
    </xf>
    <xf numFmtId="2" fontId="4" fillId="3" borderId="23" xfId="0" applyNumberFormat="1" applyFont="1" applyFill="1" applyBorder="1" applyAlignment="1">
      <alignment horizontal="center" vertical="center"/>
    </xf>
    <xf numFmtId="2" fontId="4" fillId="3" borderId="24" xfId="0" applyNumberFormat="1" applyFont="1" applyFill="1" applyBorder="1" applyAlignment="1">
      <alignment horizontal="center" vertical="center"/>
    </xf>
    <xf numFmtId="0" fontId="20" fillId="3" borderId="0" xfId="0" applyFont="1" applyFill="1"/>
    <xf numFmtId="0" fontId="0" fillId="2" borderId="0" xfId="0" applyFill="1"/>
    <xf numFmtId="0" fontId="20" fillId="3" borderId="0" xfId="0" applyFont="1" applyFill="1" applyAlignment="1">
      <alignment horizontal="center" vertical="center"/>
    </xf>
    <xf numFmtId="0" fontId="24" fillId="3" borderId="0" xfId="0" applyFont="1" applyFill="1"/>
    <xf numFmtId="0" fontId="24" fillId="3" borderId="0" xfId="0" applyFont="1" applyFill="1" applyAlignment="1">
      <alignment horizontal="center" vertical="center"/>
    </xf>
    <xf numFmtId="0" fontId="24" fillId="3" borderId="0" xfId="0" applyNumberFormat="1" applyFont="1" applyFill="1" applyAlignment="1">
      <alignment horizontal="center" vertical="center"/>
    </xf>
    <xf numFmtId="0" fontId="2" fillId="4" borderId="0" xfId="0" applyFont="1" applyFill="1"/>
    <xf numFmtId="0" fontId="20" fillId="4" borderId="0" xfId="0" applyFont="1" applyFill="1"/>
    <xf numFmtId="0" fontId="4" fillId="4" borderId="0" xfId="0" applyFont="1" applyFill="1" applyAlignment="1">
      <alignment horizontal="center" vertical="top" wrapTex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left" vertical="center" indent="2"/>
    </xf>
    <xf numFmtId="0" fontId="19" fillId="4" borderId="0" xfId="0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0" xfId="0" applyFont="1" applyFill="1"/>
    <xf numFmtId="0" fontId="1" fillId="4" borderId="0" xfId="0" applyFont="1" applyFill="1" applyAlignment="1">
      <alignment horizontal="right"/>
    </xf>
    <xf numFmtId="22" fontId="1" fillId="2" borderId="12" xfId="0" applyNumberFormat="1" applyFont="1" applyFill="1" applyBorder="1" applyAlignment="1">
      <alignment horizontal="left" vertical="center" indent="1"/>
    </xf>
    <xf numFmtId="0" fontId="1" fillId="4" borderId="0" xfId="0" applyFont="1" applyFill="1"/>
    <xf numFmtId="22" fontId="2" fillId="4" borderId="0" xfId="0" applyNumberFormat="1" applyFont="1" applyFill="1"/>
    <xf numFmtId="0" fontId="4" fillId="5" borderId="32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167" fontId="2" fillId="4" borderId="0" xfId="8" applyNumberFormat="1" applyFont="1" applyFill="1" applyBorder="1" applyAlignment="1">
      <alignment vertical="center"/>
    </xf>
    <xf numFmtId="0" fontId="1" fillId="4" borderId="0" xfId="0" applyFont="1" applyFill="1" applyAlignment="1">
      <alignment horizontal="right" vertical="top"/>
    </xf>
    <xf numFmtId="167" fontId="7" fillId="4" borderId="0" xfId="8" applyNumberFormat="1" applyFont="1" applyFill="1" applyBorder="1" applyAlignment="1">
      <alignment vertical="center"/>
    </xf>
    <xf numFmtId="166" fontId="7" fillId="4" borderId="0" xfId="0" applyNumberFormat="1" applyFont="1" applyFill="1" applyBorder="1" applyAlignment="1">
      <alignment horizontal="right" vertical="center" indent="1"/>
    </xf>
    <xf numFmtId="0" fontId="17" fillId="4" borderId="0" xfId="0" applyFont="1" applyFill="1"/>
    <xf numFmtId="0" fontId="17" fillId="4" borderId="3" xfId="0" applyFont="1" applyFill="1" applyBorder="1" applyAlignment="1">
      <alignment horizontal="center" vertical="center"/>
    </xf>
    <xf numFmtId="164" fontId="4" fillId="3" borderId="26" xfId="0" applyNumberFormat="1" applyFont="1" applyFill="1" applyBorder="1" applyAlignment="1">
      <alignment horizontal="center" vertical="center"/>
    </xf>
    <xf numFmtId="0" fontId="14" fillId="3" borderId="26" xfId="0" applyNumberFormat="1" applyFont="1" applyFill="1" applyBorder="1" applyAlignment="1">
      <alignment horizontal="center" vertical="center"/>
    </xf>
    <xf numFmtId="0" fontId="4" fillId="3" borderId="26" xfId="0" applyNumberFormat="1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28" fillId="3" borderId="0" xfId="0" applyFont="1" applyFill="1"/>
    <xf numFmtId="0" fontId="28" fillId="3" borderId="0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top" wrapText="1"/>
    </xf>
    <xf numFmtId="0" fontId="28" fillId="3" borderId="0" xfId="0" applyFont="1" applyFill="1" applyAlignment="1">
      <alignment vertical="center"/>
    </xf>
    <xf numFmtId="0" fontId="28" fillId="3" borderId="0" xfId="0" applyFont="1" applyFill="1" applyBorder="1"/>
    <xf numFmtId="164" fontId="4" fillId="3" borderId="41" xfId="0" applyNumberFormat="1" applyFont="1" applyFill="1" applyBorder="1" applyAlignment="1">
      <alignment horizontal="center" vertical="center"/>
    </xf>
    <xf numFmtId="0" fontId="5" fillId="3" borderId="42" xfId="0" applyNumberFormat="1" applyFont="1" applyFill="1" applyBorder="1" applyAlignment="1">
      <alignment horizontal="center" vertical="center"/>
    </xf>
    <xf numFmtId="164" fontId="4" fillId="3" borderId="43" xfId="0" applyNumberFormat="1" applyFont="1" applyFill="1" applyBorder="1" applyAlignment="1">
      <alignment horizontal="center" vertical="center"/>
    </xf>
    <xf numFmtId="0" fontId="5" fillId="3" borderId="44" xfId="0" applyNumberFormat="1" applyFont="1" applyFill="1" applyBorder="1" applyAlignment="1">
      <alignment horizontal="center" vertical="center"/>
    </xf>
    <xf numFmtId="164" fontId="4" fillId="3" borderId="45" xfId="0" applyNumberFormat="1" applyFont="1" applyFill="1" applyBorder="1" applyAlignment="1">
      <alignment horizontal="center" vertical="center"/>
    </xf>
    <xf numFmtId="0" fontId="5" fillId="3" borderId="46" xfId="0" applyNumberFormat="1" applyFont="1" applyFill="1" applyBorder="1" applyAlignment="1">
      <alignment horizontal="center" vertical="center"/>
    </xf>
    <xf numFmtId="168" fontId="2" fillId="4" borderId="0" xfId="0" applyNumberFormat="1" applyFont="1" applyFill="1" applyBorder="1" applyAlignment="1">
      <alignment horizontal="left" vertical="center" indent="1"/>
    </xf>
    <xf numFmtId="0" fontId="5" fillId="4" borderId="0" xfId="0" applyFont="1" applyFill="1" applyBorder="1" applyAlignment="1">
      <alignment horizontal="right" vertical="center" indent="1"/>
    </xf>
    <xf numFmtId="0" fontId="7" fillId="4" borderId="0" xfId="0" applyFont="1" applyFill="1" applyBorder="1" applyAlignment="1">
      <alignment horizontal="right" vertical="center" indent="1"/>
    </xf>
    <xf numFmtId="0" fontId="2" fillId="0" borderId="0" xfId="0" applyFont="1" applyFill="1"/>
    <xf numFmtId="0" fontId="20" fillId="0" borderId="0" xfId="0" applyFont="1" applyFill="1"/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167" fontId="2" fillId="4" borderId="0" xfId="0" applyNumberFormat="1" applyFont="1" applyFill="1"/>
    <xf numFmtId="0" fontId="30" fillId="0" borderId="47" xfId="0" applyFont="1" applyBorder="1" applyAlignment="1">
      <alignment wrapText="1"/>
    </xf>
    <xf numFmtId="0" fontId="31" fillId="0" borderId="0" xfId="0" applyFont="1" applyAlignment="1">
      <alignment horizontal="center" vertical="center"/>
    </xf>
    <xf numFmtId="0" fontId="30" fillId="0" borderId="48" xfId="0" applyFont="1" applyBorder="1" applyAlignment="1">
      <alignment wrapText="1"/>
    </xf>
    <xf numFmtId="169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32" fillId="0" borderId="0" xfId="0" applyNumberFormat="1" applyFont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170" fontId="2" fillId="4" borderId="0" xfId="9" applyNumberFormat="1" applyFont="1" applyFill="1" applyBorder="1" applyAlignment="1">
      <alignment horizontal="center" vertical="center"/>
    </xf>
    <xf numFmtId="16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3" fillId="4" borderId="0" xfId="0" applyFont="1" applyFill="1"/>
    <xf numFmtId="167" fontId="33" fillId="4" borderId="0" xfId="0" applyNumberFormat="1" applyFont="1" applyFill="1"/>
    <xf numFmtId="22" fontId="33" fillId="3" borderId="0" xfId="0" applyNumberFormat="1" applyFont="1" applyFill="1"/>
    <xf numFmtId="0" fontId="33" fillId="3" borderId="0" xfId="0" applyFont="1" applyFill="1"/>
    <xf numFmtId="0" fontId="34" fillId="3" borderId="2" xfId="0" quotePrefix="1" applyFont="1" applyFill="1" applyBorder="1" applyAlignment="1">
      <alignment horizontal="center" vertical="center" wrapText="1"/>
    </xf>
    <xf numFmtId="0" fontId="34" fillId="3" borderId="2" xfId="1" applyFont="1" applyFill="1" applyBorder="1" applyAlignment="1">
      <alignment horizontal="center" vertical="top" wrapText="1"/>
    </xf>
    <xf numFmtId="0" fontId="34" fillId="3" borderId="2" xfId="3" applyFont="1" applyFill="1" applyBorder="1" applyAlignment="1">
      <alignment vertical="top" wrapText="1"/>
    </xf>
    <xf numFmtId="0" fontId="35" fillId="3" borderId="2" xfId="3" applyFont="1" applyFill="1" applyBorder="1" applyAlignment="1">
      <alignment horizontal="center" vertical="center" wrapText="1"/>
    </xf>
    <xf numFmtId="0" fontId="34" fillId="3" borderId="2" xfId="3" applyNumberFormat="1" applyFont="1" applyFill="1" applyBorder="1" applyAlignment="1">
      <alignment vertical="top" wrapText="1"/>
    </xf>
    <xf numFmtId="0" fontId="34" fillId="3" borderId="2" xfId="3" applyFont="1" applyFill="1" applyBorder="1" applyAlignment="1">
      <alignment horizontal="left" vertical="top" wrapText="1"/>
    </xf>
    <xf numFmtId="0" fontId="34" fillId="3" borderId="2" xfId="3" applyFont="1" applyFill="1" applyBorder="1" applyAlignment="1">
      <alignment wrapText="1"/>
    </xf>
    <xf numFmtId="0" fontId="35" fillId="3" borderId="1" xfId="0" applyFont="1" applyFill="1" applyBorder="1" applyAlignment="1">
      <alignment horizontal="center" vertical="center" wrapText="1"/>
    </xf>
    <xf numFmtId="0" fontId="33" fillId="3" borderId="0" xfId="0" applyFont="1" applyFill="1" applyAlignment="1">
      <alignment vertical="center"/>
    </xf>
    <xf numFmtId="0" fontId="34" fillId="3" borderId="21" xfId="0" applyFont="1" applyFill="1" applyBorder="1" applyAlignment="1">
      <alignment horizontal="center" vertical="center" wrapText="1"/>
    </xf>
    <xf numFmtId="0" fontId="35" fillId="3" borderId="21" xfId="0" applyFont="1" applyFill="1" applyBorder="1" applyAlignment="1">
      <alignment horizontal="center" vertical="center" wrapText="1"/>
    </xf>
    <xf numFmtId="0" fontId="38" fillId="3" borderId="26" xfId="0" applyNumberFormat="1" applyFont="1" applyFill="1" applyBorder="1" applyAlignment="1">
      <alignment horizontal="center" vertical="center"/>
    </xf>
    <xf numFmtId="0" fontId="34" fillId="3" borderId="26" xfId="0" applyNumberFormat="1" applyFont="1" applyFill="1" applyBorder="1" applyAlignment="1">
      <alignment horizontal="center" vertical="center"/>
    </xf>
    <xf numFmtId="0" fontId="34" fillId="3" borderId="26" xfId="0" applyFont="1" applyFill="1" applyBorder="1" applyAlignment="1">
      <alignment horizontal="center" vertical="center"/>
    </xf>
    <xf numFmtId="0" fontId="36" fillId="3" borderId="0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wrapText="1"/>
    </xf>
    <xf numFmtId="0" fontId="37" fillId="3" borderId="0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35" fillId="3" borderId="11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22" fontId="33" fillId="3" borderId="0" xfId="0" applyNumberFormat="1" applyFont="1" applyFill="1" applyBorder="1"/>
    <xf numFmtId="0" fontId="33" fillId="3" borderId="0" xfId="0" applyFont="1" applyFill="1" applyBorder="1"/>
    <xf numFmtId="0" fontId="38" fillId="3" borderId="0" xfId="0" applyNumberFormat="1" applyFont="1" applyFill="1" applyBorder="1" applyAlignment="1">
      <alignment horizontal="center" vertical="center"/>
    </xf>
    <xf numFmtId="0" fontId="34" fillId="3" borderId="0" xfId="0" applyNumberFormat="1" applyFont="1" applyFill="1" applyBorder="1" applyAlignment="1">
      <alignment horizontal="center" vertical="center"/>
    </xf>
    <xf numFmtId="0" fontId="34" fillId="3" borderId="0" xfId="0" applyFont="1" applyFill="1" applyBorder="1" applyAlignment="1">
      <alignment horizontal="center" vertical="center"/>
    </xf>
    <xf numFmtId="171" fontId="2" fillId="4" borderId="0" xfId="8" applyNumberFormat="1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39" fillId="4" borderId="0" xfId="0" applyFont="1" applyFill="1"/>
    <xf numFmtId="0" fontId="39" fillId="3" borderId="0" xfId="0" applyFont="1" applyFill="1"/>
    <xf numFmtId="0" fontId="40" fillId="4" borderId="0" xfId="0" applyFont="1" applyFill="1"/>
    <xf numFmtId="0" fontId="41" fillId="2" borderId="0" xfId="0" applyFont="1" applyFill="1"/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top" wrapText="1"/>
    </xf>
    <xf numFmtId="0" fontId="8" fillId="3" borderId="2" xfId="3" applyFont="1" applyFill="1" applyBorder="1" applyAlignment="1">
      <alignment vertical="top" wrapText="1"/>
    </xf>
    <xf numFmtId="0" fontId="42" fillId="3" borderId="2" xfId="3" applyFont="1" applyFill="1" applyBorder="1" applyAlignment="1">
      <alignment horizontal="center" vertical="center" wrapText="1"/>
    </xf>
    <xf numFmtId="0" fontId="8" fillId="3" borderId="2" xfId="3" applyNumberFormat="1" applyFont="1" applyFill="1" applyBorder="1" applyAlignment="1">
      <alignment vertical="top" wrapText="1"/>
    </xf>
    <xf numFmtId="0" fontId="8" fillId="3" borderId="2" xfId="3" applyFont="1" applyFill="1" applyBorder="1" applyAlignment="1">
      <alignment horizontal="left" vertical="top" wrapText="1"/>
    </xf>
    <xf numFmtId="0" fontId="8" fillId="3" borderId="2" xfId="3" applyFont="1" applyFill="1" applyBorder="1" applyAlignment="1">
      <alignment wrapText="1"/>
    </xf>
    <xf numFmtId="0" fontId="42" fillId="3" borderId="1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0" fillId="2" borderId="0" xfId="0" applyFill="1" applyBorder="1"/>
    <xf numFmtId="0" fontId="39" fillId="3" borderId="0" xfId="0" applyFont="1" applyFill="1" applyAlignment="1">
      <alignment horizontal="center" wrapText="1"/>
    </xf>
    <xf numFmtId="0" fontId="2" fillId="3" borderId="0" xfId="0" applyFont="1" applyFill="1" applyAlignment="1">
      <alignment wrapText="1"/>
    </xf>
    <xf numFmtId="0" fontId="8" fillId="3" borderId="26" xfId="0" applyFont="1" applyFill="1" applyBorder="1" applyAlignment="1">
      <alignment horizontal="center" vertical="center"/>
    </xf>
    <xf numFmtId="0" fontId="45" fillId="3" borderId="26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0" fontId="4" fillId="3" borderId="1" xfId="9" applyNumberFormat="1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47" fillId="4" borderId="0" xfId="0" applyFont="1" applyFill="1" applyAlignment="1">
      <alignment horizontal="right"/>
    </xf>
    <xf numFmtId="0" fontId="8" fillId="3" borderId="26" xfId="0" applyNumberFormat="1" applyFont="1" applyFill="1" applyBorder="1" applyAlignment="1">
      <alignment horizontal="center" vertical="center"/>
    </xf>
    <xf numFmtId="22" fontId="5" fillId="2" borderId="13" xfId="0" applyNumberFormat="1" applyFont="1" applyFill="1" applyBorder="1" applyAlignment="1">
      <alignment horizontal="left" vertical="center" indent="1"/>
    </xf>
    <xf numFmtId="22" fontId="7" fillId="2" borderId="12" xfId="0" applyNumberFormat="1" applyFont="1" applyFill="1" applyBorder="1" applyAlignment="1">
      <alignment horizontal="left" vertical="center" indent="1"/>
    </xf>
    <xf numFmtId="0" fontId="39" fillId="0" borderId="0" xfId="0" applyFont="1" applyFill="1"/>
    <xf numFmtId="0" fontId="2" fillId="0" borderId="2" xfId="0" applyFont="1" applyFill="1" applyBorder="1" applyAlignment="1">
      <alignment horizontal="center" vertical="center"/>
    </xf>
    <xf numFmtId="0" fontId="0" fillId="0" borderId="0" xfId="0" applyFill="1"/>
    <xf numFmtId="0" fontId="28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/>
    <xf numFmtId="49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0" fontId="4" fillId="0" borderId="1" xfId="9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wrapText="1"/>
    </xf>
    <xf numFmtId="43" fontId="4" fillId="0" borderId="1" xfId="8" applyFont="1" applyFill="1" applyBorder="1" applyAlignment="1">
      <alignment horizontal="center" vertical="center"/>
    </xf>
    <xf numFmtId="41" fontId="0" fillId="0" borderId="0" xfId="0" applyNumberFormat="1" applyAlignment="1">
      <alignment vertical="center"/>
    </xf>
    <xf numFmtId="2" fontId="0" fillId="0" borderId="0" xfId="0" applyNumberFormat="1" applyAlignment="1">
      <alignment horizontal="center"/>
    </xf>
    <xf numFmtId="0" fontId="4" fillId="3" borderId="2" xfId="0" applyFont="1" applyFill="1" applyBorder="1" applyAlignment="1">
      <alignment horizontal="center" vertical="center" wrapText="1"/>
    </xf>
    <xf numFmtId="16" fontId="2" fillId="4" borderId="0" xfId="0" applyNumberFormat="1" applyFont="1" applyFill="1"/>
    <xf numFmtId="0" fontId="4" fillId="3" borderId="4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50" fillId="20" borderId="5" xfId="0" applyFont="1" applyFill="1" applyBorder="1" applyAlignment="1">
      <alignment horizontal="center" vertical="center" wrapText="1"/>
    </xf>
    <xf numFmtId="0" fontId="50" fillId="9" borderId="5" xfId="0" applyFont="1" applyFill="1" applyBorder="1" applyAlignment="1">
      <alignment horizontal="center" vertical="center" wrapText="1"/>
    </xf>
    <xf numFmtId="164" fontId="0" fillId="2" borderId="0" xfId="0" applyNumberFormat="1" applyFill="1"/>
    <xf numFmtId="0" fontId="0" fillId="2" borderId="0" xfId="0" applyNumberFormat="1" applyFill="1"/>
    <xf numFmtId="0" fontId="6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168" fontId="2" fillId="2" borderId="69" xfId="0" applyNumberFormat="1" applyFont="1" applyFill="1" applyBorder="1" applyAlignment="1">
      <alignment horizontal="left" vertical="center" indent="1"/>
    </xf>
    <xf numFmtId="0" fontId="18" fillId="2" borderId="69" xfId="0" applyFont="1" applyFill="1" applyBorder="1" applyAlignment="1">
      <alignment horizontal="center" vertical="center"/>
    </xf>
    <xf numFmtId="2" fontId="46" fillId="2" borderId="69" xfId="0" applyNumberFormat="1" applyFont="1" applyFill="1" applyBorder="1" applyAlignment="1">
      <alignment horizontal="center" vertical="center"/>
    </xf>
    <xf numFmtId="0" fontId="46" fillId="2" borderId="69" xfId="0" applyFont="1" applyFill="1" applyBorder="1" applyAlignment="1">
      <alignment horizontal="center" vertical="center"/>
    </xf>
    <xf numFmtId="10" fontId="46" fillId="2" borderId="69" xfId="9" applyNumberFormat="1" applyFont="1" applyFill="1" applyBorder="1" applyAlignment="1">
      <alignment horizontal="center" vertical="center"/>
    </xf>
    <xf numFmtId="43" fontId="46" fillId="2" borderId="70" xfId="8" applyFont="1" applyFill="1" applyBorder="1" applyAlignment="1">
      <alignment vertical="center"/>
    </xf>
    <xf numFmtId="0" fontId="2" fillId="0" borderId="68" xfId="0" applyFont="1" applyFill="1" applyBorder="1" applyAlignment="1">
      <alignment horizontal="center" vertical="center"/>
    </xf>
    <xf numFmtId="168" fontId="2" fillId="0" borderId="69" xfId="0" applyNumberFormat="1" applyFont="1" applyFill="1" applyBorder="1" applyAlignment="1">
      <alignment horizontal="left" vertical="center" indent="1"/>
    </xf>
    <xf numFmtId="0" fontId="2" fillId="2" borderId="71" xfId="0" applyFont="1" applyFill="1" applyBorder="1" applyAlignment="1">
      <alignment horizontal="center" vertical="center"/>
    </xf>
    <xf numFmtId="168" fontId="2" fillId="2" borderId="72" xfId="0" applyNumberFormat="1" applyFont="1" applyFill="1" applyBorder="1" applyAlignment="1">
      <alignment horizontal="left" vertical="center" indent="1"/>
    </xf>
    <xf numFmtId="2" fontId="46" fillId="2" borderId="72" xfId="0" applyNumberFormat="1" applyFont="1" applyFill="1" applyBorder="1" applyAlignment="1">
      <alignment horizontal="center" vertical="center"/>
    </xf>
    <xf numFmtId="0" fontId="46" fillId="2" borderId="73" xfId="0" applyFont="1" applyFill="1" applyBorder="1" applyAlignment="1">
      <alignment horizontal="center" vertical="center"/>
    </xf>
    <xf numFmtId="10" fontId="46" fillId="2" borderId="73" xfId="9" applyNumberFormat="1" applyFont="1" applyFill="1" applyBorder="1" applyAlignment="1">
      <alignment horizontal="center" vertical="center"/>
    </xf>
    <xf numFmtId="43" fontId="46" fillId="2" borderId="74" xfId="8" applyFont="1" applyFill="1" applyBorder="1" applyAlignment="1">
      <alignment vertical="center"/>
    </xf>
    <xf numFmtId="167" fontId="48" fillId="19" borderId="60" xfId="8" applyNumberFormat="1" applyFont="1" applyFill="1" applyBorder="1" applyAlignment="1">
      <alignment vertical="center"/>
    </xf>
    <xf numFmtId="167" fontId="48" fillId="18" borderId="60" xfId="8" applyNumberFormat="1" applyFont="1" applyFill="1" applyBorder="1" applyAlignment="1">
      <alignment vertical="center"/>
    </xf>
    <xf numFmtId="167" fontId="51" fillId="19" borderId="60" xfId="8" applyNumberFormat="1" applyFont="1" applyFill="1" applyBorder="1" applyAlignment="1">
      <alignment vertical="center"/>
    </xf>
    <xf numFmtId="167" fontId="48" fillId="19" borderId="77" xfId="8" applyNumberFormat="1" applyFont="1" applyFill="1" applyBorder="1" applyAlignment="1">
      <alignment vertical="center"/>
    </xf>
    <xf numFmtId="167" fontId="48" fillId="18" borderId="77" xfId="8" applyNumberFormat="1" applyFont="1" applyFill="1" applyBorder="1" applyAlignment="1">
      <alignment vertical="center"/>
    </xf>
    <xf numFmtId="167" fontId="51" fillId="19" borderId="77" xfId="8" applyNumberFormat="1" applyFont="1" applyFill="1" applyBorder="1" applyAlignment="1">
      <alignment vertical="center"/>
    </xf>
    <xf numFmtId="0" fontId="18" fillId="2" borderId="73" xfId="0" applyFont="1" applyFill="1" applyBorder="1" applyAlignment="1">
      <alignment horizontal="center" vertical="center"/>
    </xf>
    <xf numFmtId="0" fontId="52" fillId="2" borderId="69" xfId="0" applyFont="1" applyFill="1" applyBorder="1" applyAlignment="1">
      <alignment horizontal="center" vertical="center"/>
    </xf>
    <xf numFmtId="0" fontId="52" fillId="2" borderId="72" xfId="0" applyFont="1" applyFill="1" applyBorder="1" applyAlignment="1">
      <alignment horizontal="center" vertical="center"/>
    </xf>
    <xf numFmtId="166" fontId="6" fillId="2" borderId="69" xfId="0" applyNumberFormat="1" applyFont="1" applyFill="1" applyBorder="1" applyAlignment="1">
      <alignment horizontal="right" vertical="center" indent="1"/>
    </xf>
    <xf numFmtId="166" fontId="6" fillId="2" borderId="73" xfId="0" applyNumberFormat="1" applyFont="1" applyFill="1" applyBorder="1" applyAlignment="1">
      <alignment horizontal="right" vertical="center" indent="1"/>
    </xf>
    <xf numFmtId="0" fontId="8" fillId="3" borderId="2" xfId="3" quotePrefix="1" applyFont="1" applyFill="1" applyBorder="1" applyAlignment="1">
      <alignment vertical="top" wrapText="1"/>
    </xf>
    <xf numFmtId="173" fontId="51" fillId="19" borderId="77" xfId="8" applyNumberFormat="1" applyFont="1" applyFill="1" applyBorder="1" applyAlignment="1">
      <alignment vertical="center"/>
    </xf>
    <xf numFmtId="167" fontId="5" fillId="2" borderId="69" xfId="8" applyNumberFormat="1" applyFont="1" applyFill="1" applyBorder="1" applyAlignment="1">
      <alignment vertical="center"/>
    </xf>
    <xf numFmtId="167" fontId="5" fillId="2" borderId="73" xfId="8" applyNumberFormat="1" applyFont="1" applyFill="1" applyBorder="1" applyAlignment="1">
      <alignment vertical="center"/>
    </xf>
    <xf numFmtId="167" fontId="53" fillId="2" borderId="69" xfId="8" applyNumberFormat="1" applyFont="1" applyFill="1" applyBorder="1" applyAlignment="1">
      <alignment vertical="center"/>
    </xf>
    <xf numFmtId="167" fontId="53" fillId="2" borderId="73" xfId="8" applyNumberFormat="1" applyFont="1" applyFill="1" applyBorder="1" applyAlignment="1">
      <alignment vertical="center"/>
    </xf>
    <xf numFmtId="0" fontId="10" fillId="3" borderId="2" xfId="3" quotePrefix="1" applyNumberFormat="1" applyFont="1" applyFill="1" applyBorder="1" applyAlignment="1">
      <alignment vertical="top" wrapText="1"/>
    </xf>
    <xf numFmtId="0" fontId="2" fillId="15" borderId="61" xfId="0" applyFont="1" applyFill="1" applyBorder="1" applyAlignment="1">
      <alignment horizontal="center" vertical="center"/>
    </xf>
    <xf numFmtId="0" fontId="2" fillId="3" borderId="75" xfId="0" applyFont="1" applyFill="1" applyBorder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/>
    </xf>
    <xf numFmtId="1" fontId="4" fillId="0" borderId="4" xfId="0" applyNumberFormat="1" applyFont="1" applyFill="1" applyBorder="1" applyAlignment="1">
      <alignment horizontal="center" vertical="center"/>
    </xf>
    <xf numFmtId="1" fontId="4" fillId="3" borderId="4" xfId="0" applyNumberFormat="1" applyFont="1" applyFill="1" applyBorder="1" applyAlignment="1">
      <alignment horizontal="center" vertical="center"/>
    </xf>
    <xf numFmtId="43" fontId="4" fillId="0" borderId="4" xfId="8" applyFont="1" applyFill="1" applyBorder="1" applyAlignment="1">
      <alignment horizontal="center" vertical="center"/>
    </xf>
    <xf numFmtId="0" fontId="2" fillId="3" borderId="93" xfId="0" applyFont="1" applyFill="1" applyBorder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 vertical="center"/>
    </xf>
    <xf numFmtId="1" fontId="4" fillId="3" borderId="11" xfId="0" applyNumberFormat="1" applyFont="1" applyFill="1" applyBorder="1" applyAlignment="1">
      <alignment horizontal="center" vertical="center"/>
    </xf>
    <xf numFmtId="10" fontId="4" fillId="3" borderId="11" xfId="9" applyNumberFormat="1" applyFont="1" applyFill="1" applyBorder="1" applyAlignment="1">
      <alignment horizontal="center" vertical="center"/>
    </xf>
    <xf numFmtId="164" fontId="4" fillId="3" borderId="9" xfId="0" applyNumberFormat="1" applyFont="1" applyFill="1" applyBorder="1" applyAlignment="1">
      <alignment horizontal="center" vertical="center"/>
    </xf>
    <xf numFmtId="1" fontId="4" fillId="3" borderId="9" xfId="0" applyNumberFormat="1" applyFont="1" applyFill="1" applyBorder="1" applyAlignment="1">
      <alignment horizontal="center" vertical="center"/>
    </xf>
    <xf numFmtId="1" fontId="8" fillId="3" borderId="9" xfId="0" applyNumberFormat="1" applyFont="1" applyFill="1" applyBorder="1" applyAlignment="1">
      <alignment horizontal="center" vertical="center"/>
    </xf>
    <xf numFmtId="10" fontId="4" fillId="3" borderId="9" xfId="9" applyNumberFormat="1" applyFont="1" applyFill="1" applyBorder="1" applyAlignment="1">
      <alignment horizontal="center" vertical="center"/>
    </xf>
    <xf numFmtId="1" fontId="4" fillId="3" borderId="94" xfId="0" applyNumberFormat="1" applyFont="1" applyFill="1" applyBorder="1" applyAlignment="1">
      <alignment horizontal="center" vertical="center"/>
    </xf>
    <xf numFmtId="1" fontId="4" fillId="3" borderId="95" xfId="0" applyNumberFormat="1" applyFont="1" applyFill="1" applyBorder="1" applyAlignment="1">
      <alignment horizontal="center" vertical="center"/>
    </xf>
    <xf numFmtId="164" fontId="4" fillId="3" borderId="96" xfId="0" applyNumberFormat="1" applyFont="1" applyFill="1" applyBorder="1" applyAlignment="1">
      <alignment horizontal="center" vertical="center"/>
    </xf>
    <xf numFmtId="1" fontId="4" fillId="3" borderId="96" xfId="0" applyNumberFormat="1" applyFont="1" applyFill="1" applyBorder="1" applyAlignment="1">
      <alignment horizontal="center" vertical="center"/>
    </xf>
    <xf numFmtId="10" fontId="4" fillId="3" borderId="96" xfId="9" applyNumberFormat="1" applyFont="1" applyFill="1" applyBorder="1" applyAlignment="1">
      <alignment horizontal="center" vertical="center"/>
    </xf>
    <xf numFmtId="1" fontId="4" fillId="3" borderId="97" xfId="0" applyNumberFormat="1" applyFont="1" applyFill="1" applyBorder="1" applyAlignment="1">
      <alignment horizontal="center" vertical="center"/>
    </xf>
    <xf numFmtId="0" fontId="2" fillId="5" borderId="92" xfId="0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8" applyNumberFormat="1" applyFont="1" applyFill="1" applyBorder="1" applyAlignment="1">
      <alignment horizontal="center" vertical="center"/>
    </xf>
    <xf numFmtId="0" fontId="4" fillId="3" borderId="1" xfId="9" applyNumberFormat="1" applyFont="1" applyFill="1" applyBorder="1" applyAlignment="1">
      <alignment horizontal="center" vertical="center"/>
    </xf>
    <xf numFmtId="2" fontId="4" fillId="3" borderId="9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74" fontId="46" fillId="2" borderId="69" xfId="0" applyNumberFormat="1" applyFont="1" applyFill="1" applyBorder="1" applyAlignment="1">
      <alignment horizontal="center" vertical="center"/>
    </xf>
    <xf numFmtId="174" fontId="46" fillId="2" borderId="73" xfId="0" applyNumberFormat="1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center" vertical="center"/>
    </xf>
    <xf numFmtId="168" fontId="2" fillId="0" borderId="66" xfId="0" applyNumberFormat="1" applyFont="1" applyFill="1" applyBorder="1" applyAlignment="1">
      <alignment horizontal="left" vertical="center" indent="1"/>
    </xf>
    <xf numFmtId="0" fontId="52" fillId="0" borderId="66" xfId="0" applyFont="1" applyFill="1" applyBorder="1" applyAlignment="1">
      <alignment horizontal="center" vertical="center"/>
    </xf>
    <xf numFmtId="2" fontId="46" fillId="0" borderId="66" xfId="0" applyNumberFormat="1" applyFont="1" applyFill="1" applyBorder="1" applyAlignment="1">
      <alignment horizontal="center" vertical="center"/>
    </xf>
    <xf numFmtId="0" fontId="46" fillId="0" borderId="66" xfId="0" applyFont="1" applyFill="1" applyBorder="1" applyAlignment="1">
      <alignment horizontal="center" vertical="center"/>
    </xf>
    <xf numFmtId="0" fontId="18" fillId="0" borderId="66" xfId="0" applyFont="1" applyFill="1" applyBorder="1" applyAlignment="1">
      <alignment horizontal="center" vertical="center"/>
    </xf>
    <xf numFmtId="167" fontId="5" fillId="0" borderId="66" xfId="8" applyNumberFormat="1" applyFont="1" applyFill="1" applyBorder="1" applyAlignment="1">
      <alignment vertical="center"/>
    </xf>
    <xf numFmtId="166" fontId="6" fillId="0" borderId="66" xfId="0" applyNumberFormat="1" applyFont="1" applyFill="1" applyBorder="1" applyAlignment="1">
      <alignment horizontal="right" vertical="center" indent="1"/>
    </xf>
    <xf numFmtId="167" fontId="53" fillId="0" borderId="66" xfId="8" applyNumberFormat="1" applyFont="1" applyFill="1" applyBorder="1" applyAlignment="1">
      <alignment vertical="center"/>
    </xf>
    <xf numFmtId="174" fontId="46" fillId="0" borderId="66" xfId="0" applyNumberFormat="1" applyFont="1" applyFill="1" applyBorder="1" applyAlignment="1">
      <alignment horizontal="center" vertical="center"/>
    </xf>
    <xf numFmtId="10" fontId="46" fillId="0" borderId="66" xfId="9" applyNumberFormat="1" applyFont="1" applyFill="1" applyBorder="1" applyAlignment="1">
      <alignment horizontal="center" vertical="center"/>
    </xf>
    <xf numFmtId="43" fontId="46" fillId="0" borderId="67" xfId="8" applyFont="1" applyFill="1" applyBorder="1" applyAlignment="1">
      <alignment vertical="center"/>
    </xf>
    <xf numFmtId="0" fontId="52" fillId="0" borderId="69" xfId="0" applyFont="1" applyFill="1" applyBorder="1" applyAlignment="1">
      <alignment horizontal="center" vertical="center"/>
    </xf>
    <xf numFmtId="2" fontId="46" fillId="0" borderId="69" xfId="0" applyNumberFormat="1" applyFont="1" applyFill="1" applyBorder="1" applyAlignment="1">
      <alignment horizontal="center" vertical="center"/>
    </xf>
    <xf numFmtId="0" fontId="46" fillId="0" borderId="69" xfId="0" applyFont="1" applyFill="1" applyBorder="1" applyAlignment="1">
      <alignment horizontal="center" vertical="center"/>
    </xf>
    <xf numFmtId="0" fontId="18" fillId="0" borderId="69" xfId="0" applyFont="1" applyFill="1" applyBorder="1" applyAlignment="1">
      <alignment horizontal="center" vertical="center"/>
    </xf>
    <xf numFmtId="167" fontId="5" fillId="0" borderId="69" xfId="8" applyNumberFormat="1" applyFont="1" applyFill="1" applyBorder="1" applyAlignment="1">
      <alignment vertical="center"/>
    </xf>
    <xf numFmtId="166" fontId="6" fillId="0" borderId="69" xfId="0" applyNumberFormat="1" applyFont="1" applyFill="1" applyBorder="1" applyAlignment="1">
      <alignment horizontal="right" vertical="center" indent="1"/>
    </xf>
    <xf numFmtId="167" fontId="53" fillId="0" borderId="69" xfId="8" applyNumberFormat="1" applyFont="1" applyFill="1" applyBorder="1" applyAlignment="1">
      <alignment vertical="center"/>
    </xf>
    <xf numFmtId="174" fontId="46" fillId="0" borderId="69" xfId="0" applyNumberFormat="1" applyFont="1" applyFill="1" applyBorder="1" applyAlignment="1">
      <alignment horizontal="center" vertical="center"/>
    </xf>
    <xf numFmtId="10" fontId="46" fillId="0" borderId="69" xfId="9" applyNumberFormat="1" applyFont="1" applyFill="1" applyBorder="1" applyAlignment="1">
      <alignment horizontal="center" vertical="center"/>
    </xf>
    <xf numFmtId="43" fontId="46" fillId="0" borderId="70" xfId="8" applyFont="1" applyFill="1" applyBorder="1" applyAlignment="1">
      <alignment vertical="center"/>
    </xf>
    <xf numFmtId="0" fontId="39" fillId="4" borderId="0" xfId="0" applyFont="1" applyFill="1" applyAlignment="1">
      <alignment horizontal="center"/>
    </xf>
    <xf numFmtId="0" fontId="4" fillId="5" borderId="5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3" fillId="5" borderId="52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5" borderId="53" xfId="0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34" fillId="3" borderId="9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0" fontId="37" fillId="3" borderId="6" xfId="0" applyFont="1" applyFill="1" applyBorder="1" applyAlignment="1">
      <alignment horizontal="center" vertical="center"/>
    </xf>
    <xf numFmtId="0" fontId="37" fillId="3" borderId="10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wrapText="1"/>
    </xf>
    <xf numFmtId="0" fontId="35" fillId="3" borderId="11" xfId="0" applyFont="1" applyFill="1" applyBorder="1" applyAlignment="1">
      <alignment horizontal="center" vertical="center" wrapText="1"/>
    </xf>
    <xf numFmtId="0" fontId="36" fillId="3" borderId="9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26" fillId="11" borderId="35" xfId="0" applyFont="1" applyFill="1" applyBorder="1" applyAlignment="1">
      <alignment horizontal="center"/>
    </xf>
    <xf numFmtId="0" fontId="26" fillId="11" borderId="36" xfId="0" applyFont="1" applyFill="1" applyBorder="1" applyAlignment="1">
      <alignment horizontal="center"/>
    </xf>
    <xf numFmtId="0" fontId="26" fillId="11" borderId="37" xfId="0" applyFont="1" applyFill="1" applyBorder="1" applyAlignment="1">
      <alignment horizontal="center"/>
    </xf>
    <xf numFmtId="0" fontId="27" fillId="12" borderId="33" xfId="0" applyFont="1" applyFill="1" applyBorder="1" applyAlignment="1">
      <alignment horizontal="center" vertical="center" wrapText="1"/>
    </xf>
    <xf numFmtId="0" fontId="27" fillId="12" borderId="34" xfId="0" applyFont="1" applyFill="1" applyBorder="1" applyAlignment="1">
      <alignment horizontal="center" vertical="center" wrapText="1"/>
    </xf>
    <xf numFmtId="0" fontId="26" fillId="13" borderId="35" xfId="0" applyFont="1" applyFill="1" applyBorder="1" applyAlignment="1">
      <alignment horizontal="center"/>
    </xf>
    <xf numFmtId="0" fontId="26" fillId="13" borderId="36" xfId="0" applyFont="1" applyFill="1" applyBorder="1" applyAlignment="1">
      <alignment horizontal="center"/>
    </xf>
    <xf numFmtId="0" fontId="26" fillId="13" borderId="37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29" fillId="2" borderId="5" xfId="0" applyFont="1" applyFill="1" applyBorder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3" fontId="12" fillId="2" borderId="5" xfId="0" applyNumberFormat="1" applyFont="1" applyFill="1" applyBorder="1" applyAlignment="1">
      <alignment horizontal="center" vertical="center"/>
    </xf>
    <xf numFmtId="3" fontId="12" fillId="2" borderId="18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6" fontId="12" fillId="2" borderId="18" xfId="0" applyNumberFormat="1" applyFont="1" applyFill="1" applyBorder="1" applyAlignment="1">
      <alignment horizontal="center" vertical="center"/>
    </xf>
    <xf numFmtId="2" fontId="12" fillId="2" borderId="5" xfId="0" applyNumberFormat="1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 wrapText="1"/>
    </xf>
    <xf numFmtId="0" fontId="3" fillId="5" borderId="30" xfId="0" applyFont="1" applyFill="1" applyBorder="1" applyAlignment="1">
      <alignment horizontal="center" vertical="center" wrapText="1"/>
    </xf>
    <xf numFmtId="0" fontId="3" fillId="5" borderId="3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0" fontId="4" fillId="10" borderId="18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21" fillId="8" borderId="29" xfId="0" applyFont="1" applyFill="1" applyBorder="1" applyAlignment="1">
      <alignment horizont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 wrapText="1"/>
    </xf>
    <xf numFmtId="0" fontId="3" fillId="5" borderId="2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4" fillId="10" borderId="33" xfId="0" applyFont="1" applyFill="1" applyBorder="1" applyAlignment="1">
      <alignment horizontal="center" vertical="center" wrapText="1"/>
    </xf>
    <xf numFmtId="0" fontId="4" fillId="10" borderId="34" xfId="0" applyFont="1" applyFill="1" applyBorder="1" applyAlignment="1">
      <alignment horizontal="center" vertical="center" wrapText="1"/>
    </xf>
    <xf numFmtId="0" fontId="27" fillId="12" borderId="5" xfId="0" applyFont="1" applyFill="1" applyBorder="1" applyAlignment="1">
      <alignment horizontal="center" vertical="center" wrapText="1"/>
    </xf>
    <xf numFmtId="0" fontId="27" fillId="12" borderId="18" xfId="0" applyFont="1" applyFill="1" applyBorder="1" applyAlignment="1">
      <alignment horizontal="center" vertical="center" wrapText="1"/>
    </xf>
    <xf numFmtId="0" fontId="22" fillId="9" borderId="19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3" fillId="5" borderId="49" xfId="0" applyFont="1" applyFill="1" applyBorder="1" applyAlignment="1">
      <alignment horizontal="center" vertical="center" wrapText="1"/>
    </xf>
    <xf numFmtId="0" fontId="3" fillId="5" borderId="50" xfId="0" applyFont="1" applyFill="1" applyBorder="1" applyAlignment="1">
      <alignment horizontal="center" vertical="center" wrapText="1"/>
    </xf>
    <xf numFmtId="0" fontId="3" fillId="5" borderId="5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5" borderId="98" xfId="0" applyFont="1" applyFill="1" applyBorder="1" applyAlignment="1">
      <alignment horizontal="center" vertical="center" wrapText="1"/>
    </xf>
    <xf numFmtId="0" fontId="7" fillId="5" borderId="99" xfId="0" applyFont="1" applyFill="1" applyBorder="1" applyAlignment="1">
      <alignment horizontal="center" vertical="center" wrapText="1"/>
    </xf>
    <xf numFmtId="0" fontId="7" fillId="5" borderId="100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43" fillId="3" borderId="9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center" vertical="center"/>
    </xf>
    <xf numFmtId="3" fontId="12" fillId="2" borderId="90" xfId="0" applyNumberFormat="1" applyFont="1" applyFill="1" applyBorder="1" applyAlignment="1">
      <alignment horizontal="center" vertical="center"/>
    </xf>
    <xf numFmtId="166" fontId="12" fillId="2" borderId="90" xfId="0" applyNumberFormat="1" applyFont="1" applyFill="1" applyBorder="1" applyAlignment="1">
      <alignment horizontal="center" vertical="center"/>
    </xf>
    <xf numFmtId="0" fontId="18" fillId="2" borderId="90" xfId="0" applyFont="1" applyFill="1" applyBorder="1" applyAlignment="1">
      <alignment horizontal="center" vertical="center"/>
    </xf>
    <xf numFmtId="0" fontId="12" fillId="2" borderId="90" xfId="0" applyFont="1" applyFill="1" applyBorder="1" applyAlignment="1">
      <alignment horizontal="center" vertical="center"/>
    </xf>
    <xf numFmtId="0" fontId="12" fillId="2" borderId="88" xfId="0" applyFont="1" applyFill="1" applyBorder="1" applyAlignment="1">
      <alignment horizontal="center" vertical="center"/>
    </xf>
    <xf numFmtId="0" fontId="12" fillId="2" borderId="91" xfId="0" applyFont="1" applyFill="1" applyBorder="1" applyAlignment="1">
      <alignment horizontal="center" vertical="center"/>
    </xf>
    <xf numFmtId="0" fontId="4" fillId="5" borderId="80" xfId="0" applyFont="1" applyFill="1" applyBorder="1" applyAlignment="1">
      <alignment horizontal="center" vertical="center" wrapText="1"/>
    </xf>
    <xf numFmtId="0" fontId="4" fillId="10" borderId="80" xfId="0" applyFont="1" applyFill="1" applyBorder="1" applyAlignment="1">
      <alignment horizontal="center" vertical="center" wrapText="1"/>
    </xf>
    <xf numFmtId="0" fontId="4" fillId="10" borderId="54" xfId="0" applyFont="1" applyFill="1" applyBorder="1" applyAlignment="1">
      <alignment horizontal="center" vertical="center" wrapText="1"/>
    </xf>
    <xf numFmtId="0" fontId="54" fillId="11" borderId="35" xfId="0" applyFont="1" applyFill="1" applyBorder="1" applyAlignment="1">
      <alignment horizontal="center"/>
    </xf>
    <xf numFmtId="0" fontId="54" fillId="11" borderId="36" xfId="0" applyFont="1" applyFill="1" applyBorder="1" applyAlignment="1">
      <alignment horizontal="center"/>
    </xf>
    <xf numFmtId="0" fontId="54" fillId="11" borderId="37" xfId="0" applyFont="1" applyFill="1" applyBorder="1" applyAlignment="1">
      <alignment horizontal="center"/>
    </xf>
    <xf numFmtId="0" fontId="5" fillId="2" borderId="87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89" xfId="0" applyFont="1" applyFill="1" applyBorder="1" applyAlignment="1">
      <alignment horizontal="center" vertical="center" wrapText="1"/>
    </xf>
    <xf numFmtId="0" fontId="5" fillId="2" borderId="90" xfId="0" applyFont="1" applyFill="1" applyBorder="1" applyAlignment="1">
      <alignment horizontal="center" vertical="center" wrapText="1"/>
    </xf>
    <xf numFmtId="0" fontId="29" fillId="2" borderId="90" xfId="0" applyFont="1" applyFill="1" applyBorder="1" applyAlignment="1">
      <alignment horizontal="center" vertical="center"/>
    </xf>
    <xf numFmtId="172" fontId="12" fillId="2" borderId="5" xfId="8" applyNumberFormat="1" applyFont="1" applyFill="1" applyBorder="1" applyAlignment="1">
      <alignment horizontal="center" vertical="center"/>
    </xf>
    <xf numFmtId="172" fontId="12" fillId="2" borderId="90" xfId="8" applyNumberFormat="1" applyFont="1" applyFill="1" applyBorder="1" applyAlignment="1">
      <alignment horizontal="center" vertical="center"/>
    </xf>
    <xf numFmtId="0" fontId="26" fillId="17" borderId="75" xfId="0" applyFont="1" applyFill="1" applyBorder="1" applyAlignment="1">
      <alignment horizontal="right" vertical="center"/>
    </xf>
    <xf numFmtId="0" fontId="26" fillId="17" borderId="76" xfId="0" applyFont="1" applyFill="1" applyBorder="1" applyAlignment="1">
      <alignment horizontal="right" vertical="center"/>
    </xf>
    <xf numFmtId="0" fontId="6" fillId="5" borderId="56" xfId="0" applyFont="1" applyFill="1" applyBorder="1" applyAlignment="1">
      <alignment horizontal="center" vertical="center" wrapText="1"/>
    </xf>
    <xf numFmtId="0" fontId="6" fillId="5" borderId="57" xfId="0" applyFont="1" applyFill="1" applyBorder="1" applyAlignment="1">
      <alignment horizontal="center" vertical="center" wrapText="1"/>
    </xf>
    <xf numFmtId="0" fontId="6" fillId="5" borderId="58" xfId="0" applyFont="1" applyFill="1" applyBorder="1" applyAlignment="1">
      <alignment horizontal="center" vertical="center" wrapText="1"/>
    </xf>
    <xf numFmtId="0" fontId="5" fillId="5" borderId="62" xfId="0" applyFont="1" applyFill="1" applyBorder="1" applyAlignment="1">
      <alignment horizontal="center" vertical="center" wrapText="1"/>
    </xf>
    <xf numFmtId="0" fontId="5" fillId="5" borderId="63" xfId="0" applyFont="1" applyFill="1" applyBorder="1" applyAlignment="1">
      <alignment horizontal="center" vertical="center" wrapText="1"/>
    </xf>
    <xf numFmtId="0" fontId="5" fillId="5" borderId="64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7" fillId="3" borderId="7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54" fillId="13" borderId="35" xfId="0" applyFont="1" applyFill="1" applyBorder="1" applyAlignment="1">
      <alignment horizontal="center"/>
    </xf>
    <xf numFmtId="0" fontId="54" fillId="13" borderId="36" xfId="0" applyFont="1" applyFill="1" applyBorder="1" applyAlignment="1">
      <alignment horizontal="center"/>
    </xf>
    <xf numFmtId="0" fontId="54" fillId="13" borderId="37" xfId="0" applyFont="1" applyFill="1" applyBorder="1" applyAlignment="1">
      <alignment horizontal="center"/>
    </xf>
    <xf numFmtId="0" fontId="7" fillId="5" borderId="52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5" borderId="55" xfId="0" applyFont="1" applyFill="1" applyBorder="1" applyAlignment="1">
      <alignment horizontal="center" vertical="center" wrapText="1"/>
    </xf>
    <xf numFmtId="0" fontId="27" fillId="12" borderId="54" xfId="0" applyFont="1" applyFill="1" applyBorder="1" applyAlignment="1">
      <alignment horizontal="center" vertical="center" wrapText="1"/>
    </xf>
    <xf numFmtId="0" fontId="22" fillId="9" borderId="81" xfId="0" applyFont="1" applyFill="1" applyBorder="1" applyAlignment="1">
      <alignment horizontal="center" vertical="center" wrapText="1"/>
    </xf>
    <xf numFmtId="0" fontId="22" fillId="9" borderId="82" xfId="0" applyFont="1" applyFill="1" applyBorder="1" applyAlignment="1">
      <alignment horizontal="center" vertical="center" wrapText="1"/>
    </xf>
    <xf numFmtId="0" fontId="7" fillId="5" borderId="83" xfId="0" applyFont="1" applyFill="1" applyBorder="1" applyAlignment="1">
      <alignment horizontal="center" vertical="center" wrapText="1"/>
    </xf>
    <xf numFmtId="0" fontId="49" fillId="5" borderId="79" xfId="0" applyFont="1" applyFill="1" applyBorder="1" applyAlignment="1">
      <alignment vertical="center"/>
    </xf>
    <xf numFmtId="0" fontId="49" fillId="5" borderId="16" xfId="0" applyFont="1" applyFill="1" applyBorder="1" applyAlignment="1">
      <alignment vertical="center"/>
    </xf>
    <xf numFmtId="0" fontId="49" fillId="5" borderId="17" xfId="0" applyFont="1" applyFill="1" applyBorder="1" applyAlignment="1">
      <alignment vertical="center"/>
    </xf>
    <xf numFmtId="0" fontId="27" fillId="12" borderId="80" xfId="0" applyFont="1" applyFill="1" applyBorder="1" applyAlignment="1">
      <alignment horizontal="center" vertical="center" wrapText="1"/>
    </xf>
    <xf numFmtId="0" fontId="49" fillId="5" borderId="84" xfId="0" applyFont="1" applyFill="1" applyBorder="1" applyAlignment="1">
      <alignment vertical="center"/>
    </xf>
    <xf numFmtId="0" fontId="49" fillId="5" borderId="86" xfId="0" applyFont="1" applyFill="1" applyBorder="1" applyAlignment="1">
      <alignment vertical="center"/>
    </xf>
  </cellXfs>
  <cellStyles count="10">
    <cellStyle name="Comma" xfId="8" builtinId="3"/>
    <cellStyle name="Comma 2" xfId="2"/>
    <cellStyle name="Comma 2 2" xfId="5"/>
    <cellStyle name="Normal" xfId="0" builtinId="0"/>
    <cellStyle name="Normal 2" xfId="3"/>
    <cellStyle name="Normal 2 2" xfId="6"/>
    <cellStyle name="Normal 3" xfId="1"/>
    <cellStyle name="Normal 3 2" xfId="7"/>
    <cellStyle name="Percent" xfId="9" builtinId="5"/>
    <cellStyle name="Percent 2" xfId="4"/>
  </cellStyles>
  <dxfs count="29"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9" defaultPivotStyle="PivotStyleLight16"/>
  <colors>
    <mruColors>
      <color rgb="FFFFFF66"/>
      <color rgb="FFFAD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47625</xdr:rowOff>
        </xdr:from>
        <xdr:to>
          <xdr:col>9</xdr:col>
          <xdr:colOff>133350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47625</xdr:rowOff>
        </xdr:from>
        <xdr:to>
          <xdr:col>9</xdr:col>
          <xdr:colOff>133350</xdr:colOff>
          <xdr:row>4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Y374"/>
  <sheetViews>
    <sheetView topLeftCell="D1" zoomScale="70" zoomScaleNormal="70" workbookViewId="0">
      <selection activeCell="G58" sqref="G58"/>
    </sheetView>
  </sheetViews>
  <sheetFormatPr defaultColWidth="0" defaultRowHeight="15" x14ac:dyDescent="0.25"/>
  <cols>
    <col min="1" max="1" width="1.5703125" style="41" customWidth="1"/>
    <col min="2" max="3" width="9.140625" style="3" hidden="1" customWidth="1"/>
    <col min="4" max="5" width="3.5703125" style="3" customWidth="1"/>
    <col min="6" max="6" width="10.42578125" style="3" bestFit="1" customWidth="1"/>
    <col min="7" max="7" width="22.42578125" style="3" bestFit="1" customWidth="1"/>
    <col min="8" max="8" width="11.42578125" style="3" customWidth="1"/>
    <col min="9" max="9" width="11" style="110" customWidth="1"/>
    <col min="10" max="10" width="10.5703125" style="110" customWidth="1"/>
    <col min="11" max="11" width="12" style="110" customWidth="1"/>
    <col min="12" max="12" width="11.140625" style="110" customWidth="1"/>
    <col min="13" max="13" width="11.85546875" style="110" customWidth="1"/>
    <col min="14" max="14" width="12" style="110" customWidth="1"/>
    <col min="15" max="15" width="9" style="110" customWidth="1"/>
    <col min="16" max="16" width="8" style="110" customWidth="1"/>
    <col min="17" max="20" width="9" style="110" customWidth="1"/>
    <col min="21" max="21" width="8.140625" style="110" customWidth="1"/>
    <col min="22" max="25" width="9" style="110" customWidth="1"/>
    <col min="26" max="26" width="7.140625" style="110" customWidth="1"/>
    <col min="27" max="27" width="9" style="110" customWidth="1"/>
    <col min="28" max="28" width="8" style="110" customWidth="1"/>
    <col min="29" max="29" width="9" style="110" customWidth="1"/>
    <col min="30" max="30" width="7.28515625" style="110" customWidth="1"/>
    <col min="31" max="31" width="9" style="110" customWidth="1"/>
    <col min="32" max="32" width="9.85546875" style="110" customWidth="1"/>
    <col min="33" max="33" width="8.5703125" style="110" customWidth="1"/>
    <col min="34" max="34" width="9.140625" style="110" customWidth="1"/>
    <col min="35" max="35" width="8.85546875" style="3" customWidth="1"/>
    <col min="36" max="36" width="9.42578125" style="3" customWidth="1"/>
    <col min="37" max="37" width="9.140625" style="3" customWidth="1"/>
    <col min="38" max="38" width="9.140625" style="68" hidden="1" customWidth="1"/>
    <col min="39" max="41" width="9.140625" style="12" hidden="1" customWidth="1"/>
    <col min="42" max="42" width="9.140625" style="6" hidden="1" customWidth="1"/>
    <col min="43" max="43" width="12.140625" style="3" hidden="1" customWidth="1"/>
    <col min="44" max="44" width="9.140625" style="16" hidden="1" customWidth="1"/>
    <col min="45" max="45" width="5.28515625" style="9" hidden="1" customWidth="1"/>
    <col min="46" max="46" width="9.140625" style="17" hidden="1" customWidth="1"/>
    <col min="47" max="47" width="9.42578125" style="3" hidden="1" customWidth="1"/>
    <col min="48" max="48" width="9.140625" style="3" hidden="1" customWidth="1"/>
    <col min="49" max="49" width="19.7109375" style="3" hidden="1" customWidth="1"/>
    <col min="50" max="50" width="9.140625" style="3" hidden="1" customWidth="1"/>
    <col min="51" max="51" width="10" style="3" hidden="1" customWidth="1"/>
    <col min="52" max="54" width="9.140625" style="3" hidden="1" customWidth="1"/>
    <col min="55" max="55" width="10.7109375" style="3" hidden="1" customWidth="1"/>
    <col min="56" max="56" width="12.140625" style="3" hidden="1" customWidth="1"/>
    <col min="57" max="76" width="9.140625" style="3" hidden="1" customWidth="1"/>
    <col min="77" max="77" width="9.140625" style="82" hidden="1" customWidth="1"/>
    <col min="78" max="16384" width="9.140625" hidden="1"/>
  </cols>
  <sheetData>
    <row r="1" spans="1:77" x14ac:dyDescent="0.25">
      <c r="F1" s="41" t="s">
        <v>251</v>
      </c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</row>
    <row r="2" spans="1:77" x14ac:dyDescent="0.25">
      <c r="F2" s="41"/>
      <c r="G2" s="52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</row>
    <row r="3" spans="1:77" x14ac:dyDescent="0.25"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U3" s="3" t="str">
        <f>CONCATENATE(AT15,AT16,AT17,AT18,AT19,AT20,AT21,AT22,AT23,AT24,AT25,AT26,AT27,AT28,AT29,AT30,AT31,AT32,AT33,AT34,AT35,AT36,AT37,AT38,AT39,AT40,AT41,AT42,AT43,AT44,AT45,AT46,AT47,AT48,AT49,AT50,AT51,AT52,AT53,AT54)</f>
        <v>31</v>
      </c>
    </row>
    <row r="4" spans="1:77" ht="21" customHeight="1" x14ac:dyDescent="0.25">
      <c r="F4" s="59" t="s">
        <v>2</v>
      </c>
      <c r="G4" s="5">
        <v>41781.291666666664</v>
      </c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</row>
    <row r="5" spans="1:77" ht="21" customHeight="1" thickBot="1" x14ac:dyDescent="0.3">
      <c r="F5" s="59" t="s">
        <v>3</v>
      </c>
      <c r="G5" s="53">
        <f>+G4+1</f>
        <v>41782.291666666664</v>
      </c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</row>
    <row r="6" spans="1:77" x14ac:dyDescent="0.25"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</row>
    <row r="7" spans="1:77" x14ac:dyDescent="0.25"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</row>
    <row r="8" spans="1:77" ht="18" customHeight="1" x14ac:dyDescent="0.25">
      <c r="A8" s="42"/>
      <c r="B8" s="42"/>
      <c r="C8" s="42"/>
      <c r="D8" s="42"/>
      <c r="E8" s="42"/>
      <c r="F8" s="50">
        <v>1</v>
      </c>
      <c r="G8" s="50">
        <v>3</v>
      </c>
      <c r="H8" s="50">
        <v>4</v>
      </c>
      <c r="I8" s="50">
        <v>5</v>
      </c>
      <c r="J8" s="50">
        <v>6</v>
      </c>
      <c r="K8" s="50">
        <v>7</v>
      </c>
      <c r="L8" s="50">
        <v>8</v>
      </c>
      <c r="M8" s="50">
        <v>9</v>
      </c>
      <c r="N8" s="50">
        <v>10</v>
      </c>
      <c r="O8" s="50">
        <v>11</v>
      </c>
      <c r="P8" s="50">
        <v>12</v>
      </c>
      <c r="Q8" s="50">
        <v>13</v>
      </c>
      <c r="R8" s="50">
        <v>14</v>
      </c>
      <c r="S8" s="50"/>
      <c r="T8" s="50">
        <v>15</v>
      </c>
      <c r="U8" s="50">
        <v>16</v>
      </c>
      <c r="V8" s="50">
        <v>17</v>
      </c>
      <c r="W8" s="50">
        <v>18</v>
      </c>
      <c r="X8" s="50">
        <v>19</v>
      </c>
      <c r="Y8" s="50">
        <v>20</v>
      </c>
      <c r="Z8" s="50">
        <v>21</v>
      </c>
      <c r="AA8" s="50">
        <v>22</v>
      </c>
      <c r="AB8" s="50">
        <v>23</v>
      </c>
      <c r="AC8" s="50">
        <v>24</v>
      </c>
      <c r="AD8" s="50">
        <v>25</v>
      </c>
      <c r="AE8" s="50">
        <v>26</v>
      </c>
      <c r="AF8" s="50">
        <v>27</v>
      </c>
      <c r="AG8" s="50">
        <v>28</v>
      </c>
      <c r="AH8" s="50"/>
      <c r="AI8" s="51">
        <v>29</v>
      </c>
      <c r="AJ8" s="51">
        <v>30</v>
      </c>
      <c r="AK8" s="42"/>
      <c r="AM8" s="35"/>
      <c r="AN8" s="35"/>
      <c r="AO8" s="35"/>
      <c r="AP8" s="38"/>
      <c r="AQ8" s="35"/>
      <c r="AR8" s="39"/>
      <c r="AS8" s="37"/>
      <c r="AT8" s="40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83"/>
    </row>
    <row r="9" spans="1:77" ht="15.75" customHeight="1" x14ac:dyDescent="0.25">
      <c r="F9" s="320" t="s">
        <v>152</v>
      </c>
      <c r="G9" s="329" t="s">
        <v>112</v>
      </c>
      <c r="H9" s="332" t="s">
        <v>4</v>
      </c>
      <c r="I9" s="297" t="s">
        <v>169</v>
      </c>
      <c r="J9" s="298"/>
      <c r="K9" s="299"/>
      <c r="L9" s="302" t="s">
        <v>170</v>
      </c>
      <c r="M9" s="303"/>
      <c r="N9" s="304"/>
      <c r="O9" s="328" t="s">
        <v>6</v>
      </c>
      <c r="P9" s="328"/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280" t="s">
        <v>168</v>
      </c>
      <c r="AJ9" s="348" t="s">
        <v>209</v>
      </c>
      <c r="AK9" s="41"/>
    </row>
    <row r="10" spans="1:77" ht="15.75" customHeight="1" x14ac:dyDescent="0.25">
      <c r="F10" s="321"/>
      <c r="G10" s="330"/>
      <c r="H10" s="333"/>
      <c r="I10" s="340" t="s">
        <v>160</v>
      </c>
      <c r="J10" s="340" t="s">
        <v>5</v>
      </c>
      <c r="K10" s="340" t="s">
        <v>161</v>
      </c>
      <c r="L10" s="300" t="s">
        <v>162</v>
      </c>
      <c r="M10" s="300" t="s">
        <v>163</v>
      </c>
      <c r="N10" s="300" t="s">
        <v>164</v>
      </c>
      <c r="O10" s="327" t="s">
        <v>24</v>
      </c>
      <c r="P10" s="327"/>
      <c r="Q10" s="327"/>
      <c r="R10" s="327"/>
      <c r="S10" s="327"/>
      <c r="T10" s="335" t="s">
        <v>25</v>
      </c>
      <c r="U10" s="335"/>
      <c r="V10" s="335"/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281"/>
      <c r="AJ10" s="349"/>
      <c r="AK10" s="41"/>
    </row>
    <row r="11" spans="1:77" ht="27.75" customHeight="1" x14ac:dyDescent="0.25">
      <c r="F11" s="322"/>
      <c r="G11" s="331"/>
      <c r="H11" s="334"/>
      <c r="I11" s="341"/>
      <c r="J11" s="341"/>
      <c r="K11" s="341"/>
      <c r="L11" s="301"/>
      <c r="M11" s="301"/>
      <c r="N11" s="301"/>
      <c r="O11" s="56" t="s">
        <v>7</v>
      </c>
      <c r="P11" s="56" t="s">
        <v>8</v>
      </c>
      <c r="Q11" s="56" t="s">
        <v>10</v>
      </c>
      <c r="R11" s="56" t="s">
        <v>9</v>
      </c>
      <c r="S11" s="57" t="s">
        <v>165</v>
      </c>
      <c r="T11" s="56" t="s">
        <v>11</v>
      </c>
      <c r="U11" s="56" t="s">
        <v>12</v>
      </c>
      <c r="V11" s="56" t="s">
        <v>13</v>
      </c>
      <c r="W11" s="56" t="s">
        <v>14</v>
      </c>
      <c r="X11" s="56" t="s">
        <v>15</v>
      </c>
      <c r="Y11" s="56" t="s">
        <v>16</v>
      </c>
      <c r="Z11" s="56" t="s">
        <v>17</v>
      </c>
      <c r="AA11" s="56" t="s">
        <v>18</v>
      </c>
      <c r="AB11" s="56" t="s">
        <v>19</v>
      </c>
      <c r="AC11" s="56" t="s">
        <v>20</v>
      </c>
      <c r="AD11" s="56" t="s">
        <v>21</v>
      </c>
      <c r="AE11" s="56" t="s">
        <v>22</v>
      </c>
      <c r="AF11" s="56" t="s">
        <v>23</v>
      </c>
      <c r="AG11" s="56" t="s">
        <v>9</v>
      </c>
      <c r="AH11" s="57" t="s">
        <v>165</v>
      </c>
      <c r="AI11" s="282"/>
      <c r="AJ11" s="350"/>
      <c r="AK11" s="41"/>
      <c r="AU11" s="9">
        <v>1</v>
      </c>
      <c r="AV11" s="9">
        <v>2</v>
      </c>
      <c r="AW11" s="9">
        <v>3</v>
      </c>
      <c r="AX11" s="9">
        <v>4</v>
      </c>
      <c r="AY11" s="9">
        <v>5</v>
      </c>
      <c r="AZ11" s="9">
        <v>6</v>
      </c>
      <c r="BA11" s="9">
        <v>7</v>
      </c>
      <c r="BB11" s="9">
        <v>8</v>
      </c>
      <c r="BC11" s="9">
        <v>9</v>
      </c>
      <c r="BD11" s="9">
        <v>10</v>
      </c>
      <c r="BE11" s="9">
        <v>11</v>
      </c>
      <c r="BF11" s="9">
        <v>12</v>
      </c>
      <c r="BG11" s="9">
        <v>13</v>
      </c>
      <c r="BH11" s="9">
        <v>14</v>
      </c>
      <c r="BI11" s="9">
        <v>16</v>
      </c>
      <c r="BJ11" s="9">
        <v>17</v>
      </c>
      <c r="BK11" s="9">
        <v>18</v>
      </c>
      <c r="BL11" s="9">
        <v>19</v>
      </c>
      <c r="BM11" s="9">
        <v>20</v>
      </c>
      <c r="BN11" s="9">
        <v>21</v>
      </c>
      <c r="BO11" s="9">
        <v>22</v>
      </c>
      <c r="BP11" s="9">
        <v>23</v>
      </c>
      <c r="BQ11" s="9">
        <v>24</v>
      </c>
      <c r="BR11" s="9">
        <v>25</v>
      </c>
      <c r="BS11" s="9">
        <v>26</v>
      </c>
      <c r="BT11" s="9">
        <v>27</v>
      </c>
      <c r="BU11" s="9">
        <v>28</v>
      </c>
      <c r="BV11" s="9">
        <v>29</v>
      </c>
      <c r="BW11" s="9">
        <v>30</v>
      </c>
      <c r="BX11" s="9">
        <v>31</v>
      </c>
    </row>
    <row r="12" spans="1:77" ht="24.95" customHeight="1" x14ac:dyDescent="0.25">
      <c r="B12" s="41"/>
      <c r="C12" s="41"/>
      <c r="D12" s="62">
        <v>1</v>
      </c>
      <c r="E12" s="63">
        <f t="shared" ref="E12:E21" si="0">IFERROR(VLOOKUP(MID($AU$3,D12,2),$AR$15:$AS$54,2,FALSE),0)</f>
        <v>31</v>
      </c>
      <c r="F12" s="46" t="str">
        <f t="shared" ref="F12:R20" ca="1" si="1">IF($E12=0,"",OFFSET($AT$14,$E12,F$8))</f>
        <v>CF4</v>
      </c>
      <c r="G12" s="79">
        <f t="shared" ca="1" si="1"/>
        <v>41781.784722222219</v>
      </c>
      <c r="H12" s="48">
        <f t="shared" ca="1" si="1"/>
        <v>89</v>
      </c>
      <c r="I12" s="81">
        <f t="shared" ca="1" si="1"/>
        <v>176</v>
      </c>
      <c r="J12" s="81">
        <f t="shared" ca="1" si="1"/>
        <v>162</v>
      </c>
      <c r="K12" s="81">
        <f t="shared" ca="1" si="1"/>
        <v>14</v>
      </c>
      <c r="L12" s="81">
        <f t="shared" ca="1" si="1"/>
        <v>130</v>
      </c>
      <c r="M12" s="81">
        <f t="shared" ca="1" si="1"/>
        <v>126</v>
      </c>
      <c r="N12" s="81">
        <f t="shared" ca="1" si="1"/>
        <v>4</v>
      </c>
      <c r="O12" s="58">
        <f t="shared" ca="1" si="1"/>
        <v>25</v>
      </c>
      <c r="P12" s="58">
        <f t="shared" ca="1" si="1"/>
        <v>0</v>
      </c>
      <c r="Q12" s="58">
        <f t="shared" ca="1" si="1"/>
        <v>0</v>
      </c>
      <c r="R12" s="58">
        <f t="shared" ca="1" si="1"/>
        <v>0</v>
      </c>
      <c r="S12" s="61">
        <f t="shared" ref="S12:S20" ca="1" si="2">IF($G12="","",SUM(O12:R12))</f>
        <v>25</v>
      </c>
      <c r="T12" s="58">
        <f t="shared" ref="T12:AG20" ca="1" si="3">IF($E12=0,"",OFFSET($AT$14,$E12,T$8))</f>
        <v>0</v>
      </c>
      <c r="U12" s="58">
        <f t="shared" ca="1" si="3"/>
        <v>31</v>
      </c>
      <c r="V12" s="58">
        <f t="shared" ca="1" si="3"/>
        <v>0</v>
      </c>
      <c r="W12" s="58">
        <f t="shared" ca="1" si="3"/>
        <v>0</v>
      </c>
      <c r="X12" s="58">
        <f t="shared" ca="1" si="3"/>
        <v>0</v>
      </c>
      <c r="Y12" s="58">
        <f t="shared" ca="1" si="3"/>
        <v>11</v>
      </c>
      <c r="Z12" s="58">
        <f t="shared" ca="1" si="3"/>
        <v>6</v>
      </c>
      <c r="AA12" s="58">
        <f t="shared" ca="1" si="3"/>
        <v>9</v>
      </c>
      <c r="AB12" s="58">
        <f t="shared" ca="1" si="3"/>
        <v>3</v>
      </c>
      <c r="AC12" s="58" t="str">
        <f t="shared" ca="1" si="3"/>
        <v/>
      </c>
      <c r="AD12" s="58">
        <f t="shared" ca="1" si="3"/>
        <v>0</v>
      </c>
      <c r="AE12" s="58">
        <f t="shared" ca="1" si="3"/>
        <v>0</v>
      </c>
      <c r="AF12" s="58">
        <f t="shared" ca="1" si="3"/>
        <v>0</v>
      </c>
      <c r="AG12" s="58">
        <f t="shared" ca="1" si="3"/>
        <v>0</v>
      </c>
      <c r="AH12" s="61">
        <f ca="1">IF(G12="","",SUM(T12:AG12))</f>
        <v>60</v>
      </c>
      <c r="AI12" s="49">
        <f t="shared" ref="AI12:AJ20" ca="1" si="4">IF($E12=0,"",OFFSET($AT$14,$E12,AI$8))</f>
        <v>21.200000762939453</v>
      </c>
      <c r="AJ12" s="102">
        <f t="shared" ca="1" si="4"/>
        <v>0.89023351669311523</v>
      </c>
      <c r="AK12" s="41"/>
      <c r="AL12" s="69">
        <f ca="1">IF(OR(G12=" ",G12="",ISTEXT(G12)), 0,1)</f>
        <v>1</v>
      </c>
      <c r="AM12" s="18"/>
      <c r="AN12" s="18"/>
      <c r="AW12" s="284" t="s">
        <v>112</v>
      </c>
      <c r="AX12" s="284" t="s">
        <v>4</v>
      </c>
      <c r="AY12" s="284" t="s">
        <v>160</v>
      </c>
      <c r="AZ12" s="284" t="s">
        <v>5</v>
      </c>
      <c r="BA12" s="284" t="s">
        <v>161</v>
      </c>
      <c r="BB12" s="284" t="s">
        <v>162</v>
      </c>
      <c r="BC12" s="284" t="s">
        <v>163</v>
      </c>
      <c r="BD12" s="284" t="s">
        <v>164</v>
      </c>
      <c r="BE12" s="352" t="s">
        <v>6</v>
      </c>
      <c r="BF12" s="353"/>
      <c r="BG12" s="353"/>
      <c r="BH12" s="353"/>
      <c r="BI12" s="353"/>
      <c r="BJ12" s="353"/>
      <c r="BK12" s="353"/>
      <c r="BL12" s="353"/>
      <c r="BM12" s="353"/>
      <c r="BN12" s="353"/>
      <c r="BO12" s="353"/>
      <c r="BP12" s="353"/>
      <c r="BQ12" s="353"/>
      <c r="BR12" s="353"/>
      <c r="BS12" s="353"/>
      <c r="BT12" s="353"/>
      <c r="BU12" s="353"/>
      <c r="BV12" s="354"/>
    </row>
    <row r="13" spans="1:77" ht="24.95" customHeight="1" x14ac:dyDescent="0.25">
      <c r="B13" s="41"/>
      <c r="C13" s="41"/>
      <c r="D13" s="62">
        <v>3</v>
      </c>
      <c r="E13" s="63">
        <f t="shared" si="0"/>
        <v>0</v>
      </c>
      <c r="F13" s="46" t="str">
        <f t="shared" ca="1" si="1"/>
        <v/>
      </c>
      <c r="G13" s="79" t="str">
        <f t="shared" ca="1" si="1"/>
        <v/>
      </c>
      <c r="H13" s="48" t="str">
        <f t="shared" ca="1" si="1"/>
        <v/>
      </c>
      <c r="I13" s="81" t="str">
        <f t="shared" ca="1" si="1"/>
        <v/>
      </c>
      <c r="J13" s="81" t="str">
        <f t="shared" ca="1" si="1"/>
        <v/>
      </c>
      <c r="K13" s="81" t="str">
        <f t="shared" ca="1" si="1"/>
        <v/>
      </c>
      <c r="L13" s="81" t="str">
        <f t="shared" ca="1" si="1"/>
        <v/>
      </c>
      <c r="M13" s="81" t="str">
        <f t="shared" ca="1" si="1"/>
        <v/>
      </c>
      <c r="N13" s="81" t="str">
        <f t="shared" ca="1" si="1"/>
        <v/>
      </c>
      <c r="O13" s="58" t="str">
        <f t="shared" ca="1" si="1"/>
        <v/>
      </c>
      <c r="P13" s="58" t="str">
        <f t="shared" ca="1" si="1"/>
        <v/>
      </c>
      <c r="Q13" s="136" t="str">
        <f t="shared" ca="1" si="1"/>
        <v/>
      </c>
      <c r="R13" s="58" t="str">
        <f t="shared" ca="1" si="1"/>
        <v/>
      </c>
      <c r="S13" s="61" t="str">
        <f t="shared" ca="1" si="2"/>
        <v/>
      </c>
      <c r="T13" s="58" t="str">
        <f t="shared" ca="1" si="3"/>
        <v/>
      </c>
      <c r="U13" s="58" t="str">
        <f t="shared" ca="1" si="3"/>
        <v/>
      </c>
      <c r="V13" s="58" t="str">
        <f t="shared" ca="1" si="3"/>
        <v/>
      </c>
      <c r="W13" s="58" t="str">
        <f t="shared" ca="1" si="3"/>
        <v/>
      </c>
      <c r="X13" s="58" t="str">
        <f t="shared" ca="1" si="3"/>
        <v/>
      </c>
      <c r="Y13" s="58" t="str">
        <f t="shared" ca="1" si="3"/>
        <v/>
      </c>
      <c r="Z13" s="58" t="str">
        <f t="shared" ca="1" si="3"/>
        <v/>
      </c>
      <c r="AA13" s="58" t="str">
        <f t="shared" ca="1" si="3"/>
        <v/>
      </c>
      <c r="AB13" s="58" t="str">
        <f t="shared" ca="1" si="3"/>
        <v/>
      </c>
      <c r="AC13" s="58" t="str">
        <f t="shared" ca="1" si="3"/>
        <v/>
      </c>
      <c r="AD13" s="58" t="str">
        <f t="shared" ca="1" si="3"/>
        <v/>
      </c>
      <c r="AE13" s="58" t="str">
        <f t="shared" ca="1" si="3"/>
        <v/>
      </c>
      <c r="AF13" s="58" t="str">
        <f t="shared" ca="1" si="3"/>
        <v/>
      </c>
      <c r="AG13" s="58" t="str">
        <f t="shared" ca="1" si="3"/>
        <v/>
      </c>
      <c r="AH13" s="61" t="str">
        <f t="shared" ref="AH13:AH20" ca="1" si="5">IF(G13="","",SUM(T13:AG13))</f>
        <v/>
      </c>
      <c r="AI13" s="49" t="str">
        <f t="shared" ca="1" si="4"/>
        <v/>
      </c>
      <c r="AJ13" s="102" t="str">
        <f t="shared" ca="1" si="4"/>
        <v/>
      </c>
      <c r="AK13" s="41"/>
      <c r="AL13" s="69">
        <f t="shared" ref="AL13:AL21" ca="1" si="6">IF(OR(G13=" ",G13="",ISTEXT(G13)), 0,1)</f>
        <v>0</v>
      </c>
      <c r="AM13" s="18"/>
      <c r="AN13" s="18"/>
      <c r="AW13" s="285"/>
      <c r="AX13" s="285"/>
      <c r="AY13" s="285"/>
      <c r="AZ13" s="285"/>
      <c r="BA13" s="285"/>
      <c r="BB13" s="285"/>
      <c r="BC13" s="285"/>
      <c r="BD13" s="285"/>
      <c r="BE13" s="351" t="s">
        <v>24</v>
      </c>
      <c r="BF13" s="351"/>
      <c r="BG13" s="351"/>
      <c r="BH13" s="351"/>
      <c r="BI13" s="351" t="s">
        <v>25</v>
      </c>
      <c r="BJ13" s="351"/>
      <c r="BK13" s="351"/>
      <c r="BL13" s="351"/>
      <c r="BM13" s="351"/>
      <c r="BN13" s="351"/>
      <c r="BO13" s="351"/>
      <c r="BP13" s="351"/>
      <c r="BQ13" s="351"/>
      <c r="BR13" s="351"/>
      <c r="BS13" s="351"/>
      <c r="BT13" s="351"/>
      <c r="BU13" s="351"/>
      <c r="BV13" s="351"/>
      <c r="BW13" s="8"/>
      <c r="BX13" s="8"/>
      <c r="BY13" s="84"/>
    </row>
    <row r="14" spans="1:77" ht="24.95" customHeight="1" x14ac:dyDescent="0.25">
      <c r="B14" s="41"/>
      <c r="C14" s="41"/>
      <c r="D14" s="62">
        <v>5</v>
      </c>
      <c r="E14" s="63">
        <f t="shared" si="0"/>
        <v>0</v>
      </c>
      <c r="F14" s="46" t="str">
        <f t="shared" ca="1" si="1"/>
        <v/>
      </c>
      <c r="G14" s="79" t="str">
        <f t="shared" ca="1" si="1"/>
        <v/>
      </c>
      <c r="H14" s="48" t="str">
        <f t="shared" ca="1" si="1"/>
        <v/>
      </c>
      <c r="I14" s="81" t="str">
        <f t="shared" ca="1" si="1"/>
        <v/>
      </c>
      <c r="J14" s="81" t="str">
        <f t="shared" ca="1" si="1"/>
        <v/>
      </c>
      <c r="K14" s="81" t="str">
        <f t="shared" ca="1" si="1"/>
        <v/>
      </c>
      <c r="L14" s="81" t="str">
        <f t="shared" ca="1" si="1"/>
        <v/>
      </c>
      <c r="M14" s="81" t="str">
        <f t="shared" ca="1" si="1"/>
        <v/>
      </c>
      <c r="N14" s="81" t="str">
        <f t="shared" ca="1" si="1"/>
        <v/>
      </c>
      <c r="O14" s="58" t="str">
        <f t="shared" ca="1" si="1"/>
        <v/>
      </c>
      <c r="P14" s="58" t="str">
        <f t="shared" ca="1" si="1"/>
        <v/>
      </c>
      <c r="Q14" s="58" t="str">
        <f t="shared" ca="1" si="1"/>
        <v/>
      </c>
      <c r="R14" s="58" t="str">
        <f t="shared" ca="1" si="1"/>
        <v/>
      </c>
      <c r="S14" s="61" t="str">
        <f t="shared" ca="1" si="2"/>
        <v/>
      </c>
      <c r="T14" s="58" t="str">
        <f t="shared" ca="1" si="3"/>
        <v/>
      </c>
      <c r="U14" s="58" t="str">
        <f t="shared" ca="1" si="3"/>
        <v/>
      </c>
      <c r="V14" s="58" t="str">
        <f t="shared" ca="1" si="3"/>
        <v/>
      </c>
      <c r="W14" s="58" t="str">
        <f t="shared" ca="1" si="3"/>
        <v/>
      </c>
      <c r="X14" s="58" t="str">
        <f t="shared" ca="1" si="3"/>
        <v/>
      </c>
      <c r="Y14" s="58" t="str">
        <f t="shared" ca="1" si="3"/>
        <v/>
      </c>
      <c r="Z14" s="58" t="str">
        <f t="shared" ca="1" si="3"/>
        <v/>
      </c>
      <c r="AA14" s="58" t="str">
        <f t="shared" ca="1" si="3"/>
        <v/>
      </c>
      <c r="AB14" s="58" t="str">
        <f t="shared" ca="1" si="3"/>
        <v/>
      </c>
      <c r="AC14" s="58" t="str">
        <f t="shared" ca="1" si="3"/>
        <v/>
      </c>
      <c r="AD14" s="58" t="str">
        <f t="shared" ca="1" si="3"/>
        <v/>
      </c>
      <c r="AE14" s="58" t="str">
        <f t="shared" ca="1" si="3"/>
        <v/>
      </c>
      <c r="AF14" s="58" t="str">
        <f t="shared" ca="1" si="3"/>
        <v/>
      </c>
      <c r="AG14" s="58" t="str">
        <f t="shared" ca="1" si="3"/>
        <v/>
      </c>
      <c r="AH14" s="61" t="str">
        <f ca="1">IF(G14="","",SUM(T14:AG14))</f>
        <v/>
      </c>
      <c r="AI14" s="49" t="str">
        <f t="shared" ca="1" si="4"/>
        <v/>
      </c>
      <c r="AJ14" s="102" t="str">
        <f t="shared" ca="1" si="4"/>
        <v/>
      </c>
      <c r="AK14" s="41"/>
      <c r="AL14" s="69">
        <f t="shared" ca="1" si="6"/>
        <v>0</v>
      </c>
      <c r="AM14" s="18"/>
      <c r="AN14" s="18"/>
      <c r="AW14" s="295"/>
      <c r="AX14" s="295"/>
      <c r="AY14" s="295"/>
      <c r="AZ14" s="295"/>
      <c r="BA14" s="295"/>
      <c r="BB14" s="295"/>
      <c r="BC14" s="295"/>
      <c r="BD14" s="295"/>
      <c r="BE14" s="67" t="s">
        <v>7</v>
      </c>
      <c r="BF14" s="67" t="s">
        <v>8</v>
      </c>
      <c r="BG14" s="67" t="s">
        <v>10</v>
      </c>
      <c r="BH14" s="67" t="s">
        <v>9</v>
      </c>
      <c r="BI14" s="67" t="s">
        <v>11</v>
      </c>
      <c r="BJ14" s="67" t="s">
        <v>12</v>
      </c>
      <c r="BK14" s="67" t="s">
        <v>13</v>
      </c>
      <c r="BL14" s="67" t="s">
        <v>14</v>
      </c>
      <c r="BM14" s="67" t="s">
        <v>15</v>
      </c>
      <c r="BN14" s="67" t="s">
        <v>16</v>
      </c>
      <c r="BO14" s="67" t="s">
        <v>17</v>
      </c>
      <c r="BP14" s="67" t="s">
        <v>18</v>
      </c>
      <c r="BQ14" s="67" t="s">
        <v>19</v>
      </c>
      <c r="BR14" s="67" t="s">
        <v>20</v>
      </c>
      <c r="BS14" s="67" t="s">
        <v>21</v>
      </c>
      <c r="BT14" s="67" t="s">
        <v>22</v>
      </c>
      <c r="BU14" s="67" t="s">
        <v>23</v>
      </c>
      <c r="BV14" s="67" t="s">
        <v>9</v>
      </c>
      <c r="BW14" s="101" t="s">
        <v>155</v>
      </c>
      <c r="BX14" s="101" t="s">
        <v>209</v>
      </c>
    </row>
    <row r="15" spans="1:77" ht="24.95" customHeight="1" x14ac:dyDescent="0.25">
      <c r="B15" s="41"/>
      <c r="C15" s="41"/>
      <c r="D15" s="62">
        <v>7</v>
      </c>
      <c r="E15" s="63">
        <f t="shared" si="0"/>
        <v>0</v>
      </c>
      <c r="F15" s="46" t="str">
        <f t="shared" ca="1" si="1"/>
        <v/>
      </c>
      <c r="G15" s="79" t="str">
        <f t="shared" ca="1" si="1"/>
        <v/>
      </c>
      <c r="H15" s="48" t="str">
        <f t="shared" ca="1" si="1"/>
        <v/>
      </c>
      <c r="I15" s="81" t="str">
        <f t="shared" ca="1" si="1"/>
        <v/>
      </c>
      <c r="J15" s="81" t="str">
        <f t="shared" ca="1" si="1"/>
        <v/>
      </c>
      <c r="K15" s="81" t="str">
        <f t="shared" ca="1" si="1"/>
        <v/>
      </c>
      <c r="L15" s="81" t="str">
        <f t="shared" ca="1" si="1"/>
        <v/>
      </c>
      <c r="M15" s="81" t="str">
        <f t="shared" ca="1" si="1"/>
        <v/>
      </c>
      <c r="N15" s="81" t="str">
        <f t="shared" ca="1" si="1"/>
        <v/>
      </c>
      <c r="O15" s="58" t="str">
        <f t="shared" ca="1" si="1"/>
        <v/>
      </c>
      <c r="P15" s="58" t="str">
        <f t="shared" ca="1" si="1"/>
        <v/>
      </c>
      <c r="Q15" s="58" t="str">
        <f t="shared" ca="1" si="1"/>
        <v/>
      </c>
      <c r="R15" s="58" t="str">
        <f t="shared" ca="1" si="1"/>
        <v/>
      </c>
      <c r="S15" s="61" t="str">
        <f t="shared" ca="1" si="2"/>
        <v/>
      </c>
      <c r="T15" s="58" t="str">
        <f t="shared" ca="1" si="3"/>
        <v/>
      </c>
      <c r="U15" s="58" t="str">
        <f t="shared" ca="1" si="3"/>
        <v/>
      </c>
      <c r="V15" s="58" t="str">
        <f t="shared" ca="1" si="3"/>
        <v/>
      </c>
      <c r="W15" s="58" t="str">
        <f t="shared" ca="1" si="3"/>
        <v/>
      </c>
      <c r="X15" s="58" t="str">
        <f t="shared" ca="1" si="3"/>
        <v/>
      </c>
      <c r="Y15" s="58" t="str">
        <f t="shared" ca="1" si="3"/>
        <v/>
      </c>
      <c r="Z15" s="58" t="str">
        <f t="shared" ca="1" si="3"/>
        <v/>
      </c>
      <c r="AA15" s="58" t="str">
        <f t="shared" ca="1" si="3"/>
        <v/>
      </c>
      <c r="AB15" s="58" t="str">
        <f t="shared" ca="1" si="3"/>
        <v/>
      </c>
      <c r="AC15" s="58" t="str">
        <f t="shared" ca="1" si="3"/>
        <v/>
      </c>
      <c r="AD15" s="58" t="str">
        <f t="shared" ca="1" si="3"/>
        <v/>
      </c>
      <c r="AE15" s="58" t="str">
        <f t="shared" ca="1" si="3"/>
        <v/>
      </c>
      <c r="AF15" s="58" t="str">
        <f t="shared" ca="1" si="3"/>
        <v/>
      </c>
      <c r="AG15" s="58" t="str">
        <f t="shared" ca="1" si="3"/>
        <v/>
      </c>
      <c r="AH15" s="61" t="str">
        <f t="shared" ca="1" si="5"/>
        <v/>
      </c>
      <c r="AI15" s="49" t="str">
        <f t="shared" ca="1" si="4"/>
        <v/>
      </c>
      <c r="AJ15" s="102" t="str">
        <f t="shared" ca="1" si="4"/>
        <v/>
      </c>
      <c r="AK15" s="41"/>
      <c r="AL15" s="69">
        <f t="shared" ca="1" si="6"/>
        <v>0</v>
      </c>
      <c r="AM15" s="18"/>
      <c r="AN15" s="18"/>
      <c r="AQ15" s="3">
        <f>IF(OR(AW15="",ISTEXT(AW15)),0,1)</f>
        <v>0</v>
      </c>
      <c r="AR15" s="19" t="s">
        <v>113</v>
      </c>
      <c r="AS15" s="9">
        <v>1</v>
      </c>
      <c r="AT15" s="17" t="str">
        <f t="shared" ref="AT15:AT54" si="7">IF(AQ15=1,AR15,"")</f>
        <v/>
      </c>
      <c r="AU15" s="88" t="s">
        <v>108</v>
      </c>
      <c r="AV15" s="20">
        <v>1</v>
      </c>
      <c r="AW15" s="73" t="str">
        <f t="shared" ref="AW15:AW24" si="8">IF(G36="","",G36)</f>
        <v>No more values:</v>
      </c>
      <c r="AX15" s="74" t="str">
        <f t="shared" ref="AX15:AX24" si="9">IF(H36="","",H36)</f>
        <v>No more values:</v>
      </c>
      <c r="AY15" s="74" t="str">
        <f t="shared" ref="AY15:BH15" si="10">IF(I36="","",I36)</f>
        <v/>
      </c>
      <c r="AZ15" s="74" t="str">
        <f t="shared" si="10"/>
        <v/>
      </c>
      <c r="BA15" s="74" t="str">
        <f t="shared" si="10"/>
        <v/>
      </c>
      <c r="BB15" s="74" t="str">
        <f t="shared" si="10"/>
        <v/>
      </c>
      <c r="BC15" s="74" t="str">
        <f t="shared" si="10"/>
        <v/>
      </c>
      <c r="BD15" s="74" t="str">
        <f t="shared" si="10"/>
        <v/>
      </c>
      <c r="BE15" s="74" t="str">
        <f t="shared" si="10"/>
        <v/>
      </c>
      <c r="BF15" s="74" t="str">
        <f t="shared" si="10"/>
        <v/>
      </c>
      <c r="BG15" s="74" t="str">
        <f t="shared" si="10"/>
        <v/>
      </c>
      <c r="BH15" s="74" t="str">
        <f t="shared" si="10"/>
        <v/>
      </c>
      <c r="BI15" s="74" t="str">
        <f t="shared" ref="BI15:BI22" si="11">IF(T36="","",T36)</f>
        <v/>
      </c>
      <c r="BJ15" s="74" t="str">
        <f t="shared" ref="BJ15:BV15" si="12">IF(U36="","",U36)</f>
        <v/>
      </c>
      <c r="BK15" s="74" t="str">
        <f t="shared" si="12"/>
        <v/>
      </c>
      <c r="BL15" s="74" t="str">
        <f t="shared" si="12"/>
        <v/>
      </c>
      <c r="BM15" s="74" t="str">
        <f t="shared" si="12"/>
        <v/>
      </c>
      <c r="BN15" s="74" t="str">
        <f t="shared" si="12"/>
        <v/>
      </c>
      <c r="BO15" s="74" t="str">
        <f t="shared" si="12"/>
        <v/>
      </c>
      <c r="BP15" s="74" t="str">
        <f t="shared" si="12"/>
        <v/>
      </c>
      <c r="BQ15" s="74" t="str">
        <f t="shared" si="12"/>
        <v/>
      </c>
      <c r="BR15" s="74" t="str">
        <f t="shared" si="12"/>
        <v/>
      </c>
      <c r="BS15" s="74" t="str">
        <f t="shared" si="12"/>
        <v/>
      </c>
      <c r="BT15" s="74" t="str">
        <f t="shared" si="12"/>
        <v/>
      </c>
      <c r="BU15" s="74" t="str">
        <f t="shared" si="12"/>
        <v/>
      </c>
      <c r="BV15" s="74" t="str">
        <f t="shared" si="12"/>
        <v/>
      </c>
      <c r="BW15" s="32" t="str">
        <f t="shared" ref="BW15:BX22" si="13">AJ36</f>
        <v/>
      </c>
      <c r="BX15" s="32" t="str">
        <f t="shared" si="13"/>
        <v/>
      </c>
    </row>
    <row r="16" spans="1:77" ht="24.95" customHeight="1" x14ac:dyDescent="0.25">
      <c r="B16" s="41"/>
      <c r="C16" s="41"/>
      <c r="D16" s="62">
        <v>9</v>
      </c>
      <c r="E16" s="63">
        <f t="shared" si="0"/>
        <v>0</v>
      </c>
      <c r="F16" s="46" t="str">
        <f t="shared" ca="1" si="1"/>
        <v/>
      </c>
      <c r="G16" s="79" t="str">
        <f t="shared" ca="1" si="1"/>
        <v/>
      </c>
      <c r="H16" s="48" t="str">
        <f t="shared" ca="1" si="1"/>
        <v/>
      </c>
      <c r="I16" s="81" t="str">
        <f t="shared" ca="1" si="1"/>
        <v/>
      </c>
      <c r="J16" s="81" t="str">
        <f t="shared" ca="1" si="1"/>
        <v/>
      </c>
      <c r="K16" s="81" t="str">
        <f t="shared" ca="1" si="1"/>
        <v/>
      </c>
      <c r="L16" s="81" t="str">
        <f t="shared" ca="1" si="1"/>
        <v/>
      </c>
      <c r="M16" s="81" t="str">
        <f t="shared" ca="1" si="1"/>
        <v/>
      </c>
      <c r="N16" s="81" t="str">
        <f t="shared" ca="1" si="1"/>
        <v/>
      </c>
      <c r="O16" s="58" t="str">
        <f t="shared" ca="1" si="1"/>
        <v/>
      </c>
      <c r="P16" s="58" t="str">
        <f t="shared" ca="1" si="1"/>
        <v/>
      </c>
      <c r="Q16" s="58" t="str">
        <f t="shared" ca="1" si="1"/>
        <v/>
      </c>
      <c r="R16" s="58" t="str">
        <f t="shared" ca="1" si="1"/>
        <v/>
      </c>
      <c r="S16" s="61" t="str">
        <f t="shared" ca="1" si="2"/>
        <v/>
      </c>
      <c r="T16" s="58" t="str">
        <f t="shared" ca="1" si="3"/>
        <v/>
      </c>
      <c r="U16" s="58" t="str">
        <f t="shared" ca="1" si="3"/>
        <v/>
      </c>
      <c r="V16" s="58" t="str">
        <f t="shared" ca="1" si="3"/>
        <v/>
      </c>
      <c r="W16" s="58" t="str">
        <f t="shared" ca="1" si="3"/>
        <v/>
      </c>
      <c r="X16" s="58" t="str">
        <f t="shared" ca="1" si="3"/>
        <v/>
      </c>
      <c r="Y16" s="58" t="str">
        <f t="shared" ca="1" si="3"/>
        <v/>
      </c>
      <c r="Z16" s="58" t="str">
        <f t="shared" ca="1" si="3"/>
        <v/>
      </c>
      <c r="AA16" s="58" t="str">
        <f t="shared" ca="1" si="3"/>
        <v/>
      </c>
      <c r="AB16" s="58" t="str">
        <f t="shared" ca="1" si="3"/>
        <v/>
      </c>
      <c r="AC16" s="58" t="str">
        <f t="shared" ca="1" si="3"/>
        <v/>
      </c>
      <c r="AD16" s="58" t="str">
        <f t="shared" ca="1" si="3"/>
        <v/>
      </c>
      <c r="AE16" s="58" t="str">
        <f t="shared" ca="1" si="3"/>
        <v/>
      </c>
      <c r="AF16" s="58" t="str">
        <f t="shared" ca="1" si="3"/>
        <v/>
      </c>
      <c r="AG16" s="58" t="str">
        <f t="shared" ca="1" si="3"/>
        <v/>
      </c>
      <c r="AH16" s="61" t="str">
        <f t="shared" ca="1" si="5"/>
        <v/>
      </c>
      <c r="AI16" s="49" t="str">
        <f t="shared" ca="1" si="4"/>
        <v/>
      </c>
      <c r="AJ16" s="102" t="str">
        <f t="shared" ca="1" si="4"/>
        <v/>
      </c>
      <c r="AK16" s="41"/>
      <c r="AL16" s="69">
        <f t="shared" ca="1" si="6"/>
        <v>0</v>
      </c>
      <c r="AM16" s="18"/>
      <c r="AN16" s="18"/>
      <c r="AQ16" s="3">
        <f t="shared" ref="AQ16:AQ54" si="14">IF(OR(AW16="",ISTEXT(AW16)),0,1)</f>
        <v>0</v>
      </c>
      <c r="AR16" s="19" t="s">
        <v>114</v>
      </c>
      <c r="AS16" s="9">
        <v>2</v>
      </c>
      <c r="AT16" s="17" t="str">
        <f t="shared" si="7"/>
        <v/>
      </c>
      <c r="AU16" s="88" t="s">
        <v>108</v>
      </c>
      <c r="AV16" s="20">
        <v>2</v>
      </c>
      <c r="AW16" s="75" t="str">
        <f t="shared" si="8"/>
        <v/>
      </c>
      <c r="AX16" s="76" t="str">
        <f t="shared" si="9"/>
        <v/>
      </c>
      <c r="AY16" s="76" t="str">
        <f t="shared" ref="AY16:BH22" si="15">IF(I37="","",I37)</f>
        <v/>
      </c>
      <c r="AZ16" s="76" t="str">
        <f t="shared" si="15"/>
        <v/>
      </c>
      <c r="BA16" s="76" t="str">
        <f t="shared" si="15"/>
        <v/>
      </c>
      <c r="BB16" s="76" t="str">
        <f t="shared" si="15"/>
        <v/>
      </c>
      <c r="BC16" s="76" t="str">
        <f t="shared" si="15"/>
        <v/>
      </c>
      <c r="BD16" s="76" t="str">
        <f t="shared" si="15"/>
        <v/>
      </c>
      <c r="BE16" s="76" t="str">
        <f t="shared" si="15"/>
        <v/>
      </c>
      <c r="BF16" s="76" t="str">
        <f t="shared" si="15"/>
        <v/>
      </c>
      <c r="BG16" s="76" t="str">
        <f t="shared" si="15"/>
        <v/>
      </c>
      <c r="BH16" s="76" t="str">
        <f t="shared" si="15"/>
        <v/>
      </c>
      <c r="BI16" s="76" t="str">
        <f t="shared" si="11"/>
        <v/>
      </c>
      <c r="BJ16" s="76" t="str">
        <f t="shared" ref="BJ16:BV22" si="16">IF(U37="","",U37)</f>
        <v/>
      </c>
      <c r="BK16" s="76" t="str">
        <f t="shared" si="16"/>
        <v/>
      </c>
      <c r="BL16" s="76" t="str">
        <f t="shared" si="16"/>
        <v/>
      </c>
      <c r="BM16" s="76" t="str">
        <f t="shared" si="16"/>
        <v/>
      </c>
      <c r="BN16" s="76" t="str">
        <f t="shared" si="16"/>
        <v/>
      </c>
      <c r="BO16" s="76" t="str">
        <f t="shared" si="16"/>
        <v/>
      </c>
      <c r="BP16" s="76" t="str">
        <f t="shared" si="16"/>
        <v/>
      </c>
      <c r="BQ16" s="76" t="str">
        <f t="shared" si="16"/>
        <v/>
      </c>
      <c r="BR16" s="76" t="str">
        <f t="shared" si="16"/>
        <v/>
      </c>
      <c r="BS16" s="76" t="str">
        <f t="shared" si="16"/>
        <v/>
      </c>
      <c r="BT16" s="76" t="str">
        <f t="shared" si="16"/>
        <v/>
      </c>
      <c r="BU16" s="76" t="str">
        <f t="shared" si="16"/>
        <v/>
      </c>
      <c r="BV16" s="76" t="str">
        <f t="shared" si="16"/>
        <v/>
      </c>
      <c r="BW16" s="33" t="str">
        <f t="shared" si="13"/>
        <v/>
      </c>
      <c r="BX16" s="33" t="str">
        <f t="shared" si="13"/>
        <v/>
      </c>
    </row>
    <row r="17" spans="1:76" ht="24.95" customHeight="1" x14ac:dyDescent="0.25">
      <c r="B17" s="41"/>
      <c r="C17" s="41"/>
      <c r="D17" s="62">
        <v>11</v>
      </c>
      <c r="E17" s="63">
        <f t="shared" si="0"/>
        <v>0</v>
      </c>
      <c r="F17" s="46" t="str">
        <f t="shared" ca="1" si="1"/>
        <v/>
      </c>
      <c r="G17" s="79" t="str">
        <f t="shared" ca="1" si="1"/>
        <v/>
      </c>
      <c r="H17" s="48" t="str">
        <f t="shared" ca="1" si="1"/>
        <v/>
      </c>
      <c r="I17" s="81" t="str">
        <f t="shared" ca="1" si="1"/>
        <v/>
      </c>
      <c r="J17" s="81" t="str">
        <f t="shared" ca="1" si="1"/>
        <v/>
      </c>
      <c r="K17" s="81" t="str">
        <f t="shared" ca="1" si="1"/>
        <v/>
      </c>
      <c r="L17" s="81" t="str">
        <f t="shared" ca="1" si="1"/>
        <v/>
      </c>
      <c r="M17" s="81" t="str">
        <f t="shared" ca="1" si="1"/>
        <v/>
      </c>
      <c r="N17" s="81" t="str">
        <f t="shared" ca="1" si="1"/>
        <v/>
      </c>
      <c r="O17" s="58" t="str">
        <f t="shared" ca="1" si="1"/>
        <v/>
      </c>
      <c r="P17" s="58" t="str">
        <f t="shared" ca="1" si="1"/>
        <v/>
      </c>
      <c r="Q17" s="58" t="str">
        <f t="shared" ca="1" si="1"/>
        <v/>
      </c>
      <c r="R17" s="58" t="str">
        <f t="shared" ca="1" si="1"/>
        <v/>
      </c>
      <c r="S17" s="61" t="str">
        <f t="shared" ca="1" si="2"/>
        <v/>
      </c>
      <c r="T17" s="58" t="str">
        <f t="shared" ca="1" si="3"/>
        <v/>
      </c>
      <c r="U17" s="58" t="str">
        <f t="shared" ca="1" si="3"/>
        <v/>
      </c>
      <c r="V17" s="58" t="str">
        <f t="shared" ca="1" si="3"/>
        <v/>
      </c>
      <c r="W17" s="58" t="str">
        <f t="shared" ca="1" si="3"/>
        <v/>
      </c>
      <c r="X17" s="58" t="str">
        <f t="shared" ca="1" si="3"/>
        <v/>
      </c>
      <c r="Y17" s="58" t="str">
        <f t="shared" ca="1" si="3"/>
        <v/>
      </c>
      <c r="Z17" s="58" t="str">
        <f t="shared" ca="1" si="3"/>
        <v/>
      </c>
      <c r="AA17" s="58" t="str">
        <f t="shared" ca="1" si="3"/>
        <v/>
      </c>
      <c r="AB17" s="58" t="str">
        <f t="shared" ca="1" si="3"/>
        <v/>
      </c>
      <c r="AC17" s="58" t="str">
        <f t="shared" ca="1" si="3"/>
        <v/>
      </c>
      <c r="AD17" s="58" t="str">
        <f t="shared" ca="1" si="3"/>
        <v/>
      </c>
      <c r="AE17" s="58" t="str">
        <f t="shared" ca="1" si="3"/>
        <v/>
      </c>
      <c r="AF17" s="58" t="str">
        <f t="shared" ca="1" si="3"/>
        <v/>
      </c>
      <c r="AG17" s="58" t="str">
        <f t="shared" ca="1" si="3"/>
        <v/>
      </c>
      <c r="AH17" s="61" t="str">
        <f t="shared" ca="1" si="5"/>
        <v/>
      </c>
      <c r="AI17" s="49" t="str">
        <f t="shared" ca="1" si="4"/>
        <v/>
      </c>
      <c r="AJ17" s="102" t="str">
        <f t="shared" ca="1" si="4"/>
        <v/>
      </c>
      <c r="AK17" s="41"/>
      <c r="AL17" s="69">
        <f t="shared" ca="1" si="6"/>
        <v>0</v>
      </c>
      <c r="AM17" s="18"/>
      <c r="AN17" s="18"/>
      <c r="AQ17" s="3">
        <f t="shared" si="14"/>
        <v>0</v>
      </c>
      <c r="AR17" s="19" t="s">
        <v>115</v>
      </c>
      <c r="AS17" s="9">
        <v>3</v>
      </c>
      <c r="AT17" s="17" t="str">
        <f t="shared" si="7"/>
        <v/>
      </c>
      <c r="AU17" s="88" t="s">
        <v>108</v>
      </c>
      <c r="AV17" s="20">
        <v>3</v>
      </c>
      <c r="AW17" s="75" t="str">
        <f t="shared" si="8"/>
        <v/>
      </c>
      <c r="AX17" s="76" t="str">
        <f t="shared" si="9"/>
        <v/>
      </c>
      <c r="AY17" s="76" t="str">
        <f t="shared" si="15"/>
        <v/>
      </c>
      <c r="AZ17" s="76" t="str">
        <f t="shared" si="15"/>
        <v/>
      </c>
      <c r="BA17" s="76" t="str">
        <f t="shared" si="15"/>
        <v/>
      </c>
      <c r="BB17" s="76" t="str">
        <f t="shared" si="15"/>
        <v/>
      </c>
      <c r="BC17" s="76" t="str">
        <f t="shared" si="15"/>
        <v/>
      </c>
      <c r="BD17" s="76" t="str">
        <f t="shared" si="15"/>
        <v/>
      </c>
      <c r="BE17" s="76" t="str">
        <f t="shared" si="15"/>
        <v/>
      </c>
      <c r="BF17" s="76" t="str">
        <f t="shared" si="15"/>
        <v/>
      </c>
      <c r="BG17" s="76" t="str">
        <f t="shared" si="15"/>
        <v/>
      </c>
      <c r="BH17" s="76" t="str">
        <f t="shared" si="15"/>
        <v/>
      </c>
      <c r="BI17" s="76" t="str">
        <f t="shared" si="11"/>
        <v/>
      </c>
      <c r="BJ17" s="76" t="str">
        <f t="shared" si="16"/>
        <v/>
      </c>
      <c r="BK17" s="76" t="str">
        <f t="shared" si="16"/>
        <v/>
      </c>
      <c r="BL17" s="76" t="str">
        <f t="shared" si="16"/>
        <v/>
      </c>
      <c r="BM17" s="76" t="str">
        <f t="shared" si="16"/>
        <v/>
      </c>
      <c r="BN17" s="76" t="str">
        <f t="shared" si="16"/>
        <v/>
      </c>
      <c r="BO17" s="76" t="str">
        <f t="shared" si="16"/>
        <v/>
      </c>
      <c r="BP17" s="76" t="str">
        <f t="shared" si="16"/>
        <v/>
      </c>
      <c r="BQ17" s="76" t="str">
        <f t="shared" si="16"/>
        <v/>
      </c>
      <c r="BR17" s="76" t="str">
        <f t="shared" si="16"/>
        <v/>
      </c>
      <c r="BS17" s="76" t="str">
        <f t="shared" si="16"/>
        <v/>
      </c>
      <c r="BT17" s="76" t="str">
        <f t="shared" si="16"/>
        <v/>
      </c>
      <c r="BU17" s="76" t="str">
        <f t="shared" si="16"/>
        <v/>
      </c>
      <c r="BV17" s="76" t="str">
        <f t="shared" si="16"/>
        <v/>
      </c>
      <c r="BW17" s="33" t="str">
        <f t="shared" si="13"/>
        <v/>
      </c>
      <c r="BX17" s="33" t="str">
        <f t="shared" si="13"/>
        <v/>
      </c>
    </row>
    <row r="18" spans="1:76" ht="24.95" customHeight="1" x14ac:dyDescent="0.25">
      <c r="B18" s="41"/>
      <c r="C18" s="41"/>
      <c r="D18" s="62">
        <v>13</v>
      </c>
      <c r="E18" s="63">
        <f t="shared" si="0"/>
        <v>0</v>
      </c>
      <c r="F18" s="46" t="str">
        <f t="shared" ca="1" si="1"/>
        <v/>
      </c>
      <c r="G18" s="79" t="str">
        <f t="shared" ca="1" si="1"/>
        <v/>
      </c>
      <c r="H18" s="48" t="str">
        <f t="shared" ca="1" si="1"/>
        <v/>
      </c>
      <c r="I18" s="81" t="str">
        <f t="shared" ca="1" si="1"/>
        <v/>
      </c>
      <c r="J18" s="81" t="str">
        <f t="shared" ca="1" si="1"/>
        <v/>
      </c>
      <c r="K18" s="81" t="str">
        <f t="shared" ca="1" si="1"/>
        <v/>
      </c>
      <c r="L18" s="81" t="str">
        <f t="shared" ca="1" si="1"/>
        <v/>
      </c>
      <c r="M18" s="81" t="str">
        <f t="shared" ca="1" si="1"/>
        <v/>
      </c>
      <c r="N18" s="81" t="str">
        <f t="shared" ca="1" si="1"/>
        <v/>
      </c>
      <c r="O18" s="58" t="str">
        <f t="shared" ca="1" si="1"/>
        <v/>
      </c>
      <c r="P18" s="58" t="str">
        <f t="shared" ca="1" si="1"/>
        <v/>
      </c>
      <c r="Q18" s="58" t="str">
        <f t="shared" ca="1" si="1"/>
        <v/>
      </c>
      <c r="R18" s="58" t="str">
        <f t="shared" ca="1" si="1"/>
        <v/>
      </c>
      <c r="S18" s="61" t="str">
        <f t="shared" ca="1" si="2"/>
        <v/>
      </c>
      <c r="T18" s="58" t="str">
        <f t="shared" ca="1" si="3"/>
        <v/>
      </c>
      <c r="U18" s="58" t="str">
        <f t="shared" ca="1" si="3"/>
        <v/>
      </c>
      <c r="V18" s="58" t="str">
        <f t="shared" ca="1" si="3"/>
        <v/>
      </c>
      <c r="W18" s="58" t="str">
        <f t="shared" ca="1" si="3"/>
        <v/>
      </c>
      <c r="X18" s="58" t="str">
        <f t="shared" ca="1" si="3"/>
        <v/>
      </c>
      <c r="Y18" s="58" t="str">
        <f t="shared" ca="1" si="3"/>
        <v/>
      </c>
      <c r="Z18" s="58" t="str">
        <f t="shared" ca="1" si="3"/>
        <v/>
      </c>
      <c r="AA18" s="58" t="str">
        <f t="shared" ca="1" si="3"/>
        <v/>
      </c>
      <c r="AB18" s="58" t="str">
        <f t="shared" ca="1" si="3"/>
        <v/>
      </c>
      <c r="AC18" s="58" t="str">
        <f t="shared" ca="1" si="3"/>
        <v/>
      </c>
      <c r="AD18" s="58" t="str">
        <f t="shared" ca="1" si="3"/>
        <v/>
      </c>
      <c r="AE18" s="58" t="str">
        <f t="shared" ca="1" si="3"/>
        <v/>
      </c>
      <c r="AF18" s="58" t="str">
        <f t="shared" ca="1" si="3"/>
        <v/>
      </c>
      <c r="AG18" s="58" t="str">
        <f t="shared" ca="1" si="3"/>
        <v/>
      </c>
      <c r="AH18" s="61" t="str">
        <f t="shared" ca="1" si="5"/>
        <v/>
      </c>
      <c r="AI18" s="49" t="str">
        <f t="shared" ca="1" si="4"/>
        <v/>
      </c>
      <c r="AJ18" s="102" t="str">
        <f t="shared" ca="1" si="4"/>
        <v/>
      </c>
      <c r="AK18" s="41"/>
      <c r="AL18" s="69">
        <f t="shared" ca="1" si="6"/>
        <v>0</v>
      </c>
      <c r="AM18" s="18"/>
      <c r="AN18" s="18"/>
      <c r="AQ18" s="3">
        <f t="shared" si="14"/>
        <v>0</v>
      </c>
      <c r="AR18" s="19" t="s">
        <v>116</v>
      </c>
      <c r="AS18" s="9">
        <v>4</v>
      </c>
      <c r="AT18" s="17" t="str">
        <f t="shared" si="7"/>
        <v/>
      </c>
      <c r="AU18" s="88" t="s">
        <v>108</v>
      </c>
      <c r="AV18" s="20">
        <v>4</v>
      </c>
      <c r="AW18" s="75" t="str">
        <f t="shared" si="8"/>
        <v/>
      </c>
      <c r="AX18" s="76" t="str">
        <f t="shared" si="9"/>
        <v/>
      </c>
      <c r="AY18" s="76" t="str">
        <f t="shared" si="15"/>
        <v/>
      </c>
      <c r="AZ18" s="76" t="str">
        <f t="shared" si="15"/>
        <v/>
      </c>
      <c r="BA18" s="76" t="str">
        <f t="shared" si="15"/>
        <v/>
      </c>
      <c r="BB18" s="76" t="str">
        <f t="shared" si="15"/>
        <v/>
      </c>
      <c r="BC18" s="76" t="str">
        <f t="shared" si="15"/>
        <v/>
      </c>
      <c r="BD18" s="76" t="str">
        <f t="shared" si="15"/>
        <v/>
      </c>
      <c r="BE18" s="76" t="str">
        <f t="shared" si="15"/>
        <v/>
      </c>
      <c r="BF18" s="76" t="str">
        <f t="shared" si="15"/>
        <v/>
      </c>
      <c r="BG18" s="76" t="str">
        <f t="shared" si="15"/>
        <v/>
      </c>
      <c r="BH18" s="76" t="str">
        <f t="shared" si="15"/>
        <v/>
      </c>
      <c r="BI18" s="76" t="str">
        <f t="shared" si="11"/>
        <v/>
      </c>
      <c r="BJ18" s="76" t="str">
        <f t="shared" si="16"/>
        <v/>
      </c>
      <c r="BK18" s="76" t="str">
        <f t="shared" si="16"/>
        <v/>
      </c>
      <c r="BL18" s="76" t="str">
        <f t="shared" si="16"/>
        <v/>
      </c>
      <c r="BM18" s="76" t="str">
        <f t="shared" si="16"/>
        <v/>
      </c>
      <c r="BN18" s="76" t="str">
        <f t="shared" si="16"/>
        <v/>
      </c>
      <c r="BO18" s="76" t="str">
        <f t="shared" si="16"/>
        <v/>
      </c>
      <c r="BP18" s="76" t="str">
        <f t="shared" si="16"/>
        <v/>
      </c>
      <c r="BQ18" s="76" t="str">
        <f t="shared" si="16"/>
        <v/>
      </c>
      <c r="BR18" s="76" t="str">
        <f t="shared" si="16"/>
        <v/>
      </c>
      <c r="BS18" s="76" t="str">
        <f t="shared" si="16"/>
        <v/>
      </c>
      <c r="BT18" s="76" t="str">
        <f t="shared" si="16"/>
        <v/>
      </c>
      <c r="BU18" s="76" t="str">
        <f t="shared" si="16"/>
        <v/>
      </c>
      <c r="BV18" s="76" t="str">
        <f t="shared" si="16"/>
        <v/>
      </c>
      <c r="BW18" s="33" t="str">
        <f t="shared" si="13"/>
        <v/>
      </c>
      <c r="BX18" s="33" t="str">
        <f t="shared" si="13"/>
        <v/>
      </c>
    </row>
    <row r="19" spans="1:76" ht="24.95" customHeight="1" x14ac:dyDescent="0.25">
      <c r="B19" s="41"/>
      <c r="C19" s="41"/>
      <c r="D19" s="62">
        <v>15</v>
      </c>
      <c r="E19" s="63">
        <f t="shared" si="0"/>
        <v>0</v>
      </c>
      <c r="F19" s="46" t="str">
        <f t="shared" ca="1" si="1"/>
        <v/>
      </c>
      <c r="G19" s="79" t="str">
        <f t="shared" ca="1" si="1"/>
        <v/>
      </c>
      <c r="H19" s="48" t="str">
        <f t="shared" ca="1" si="1"/>
        <v/>
      </c>
      <c r="I19" s="81" t="str">
        <f t="shared" ca="1" si="1"/>
        <v/>
      </c>
      <c r="J19" s="81" t="str">
        <f t="shared" ca="1" si="1"/>
        <v/>
      </c>
      <c r="K19" s="81" t="str">
        <f t="shared" ca="1" si="1"/>
        <v/>
      </c>
      <c r="L19" s="81" t="str">
        <f t="shared" ca="1" si="1"/>
        <v/>
      </c>
      <c r="M19" s="81" t="str">
        <f t="shared" ca="1" si="1"/>
        <v/>
      </c>
      <c r="N19" s="81" t="str">
        <f t="shared" ca="1" si="1"/>
        <v/>
      </c>
      <c r="O19" s="58" t="str">
        <f t="shared" ca="1" si="1"/>
        <v/>
      </c>
      <c r="P19" s="58" t="str">
        <f t="shared" ca="1" si="1"/>
        <v/>
      </c>
      <c r="Q19" s="58" t="str">
        <f t="shared" ca="1" si="1"/>
        <v/>
      </c>
      <c r="R19" s="58" t="str">
        <f t="shared" ca="1" si="1"/>
        <v/>
      </c>
      <c r="S19" s="61" t="str">
        <f t="shared" ca="1" si="2"/>
        <v/>
      </c>
      <c r="T19" s="58" t="str">
        <f t="shared" ca="1" si="3"/>
        <v/>
      </c>
      <c r="U19" s="58" t="str">
        <f t="shared" ca="1" si="3"/>
        <v/>
      </c>
      <c r="V19" s="58" t="str">
        <f t="shared" ca="1" si="3"/>
        <v/>
      </c>
      <c r="W19" s="58" t="str">
        <f t="shared" ca="1" si="3"/>
        <v/>
      </c>
      <c r="X19" s="58" t="str">
        <f t="shared" ca="1" si="3"/>
        <v/>
      </c>
      <c r="Y19" s="58" t="str">
        <f t="shared" ca="1" si="3"/>
        <v/>
      </c>
      <c r="Z19" s="58" t="str">
        <f t="shared" ca="1" si="3"/>
        <v/>
      </c>
      <c r="AA19" s="58" t="str">
        <f t="shared" ca="1" si="3"/>
        <v/>
      </c>
      <c r="AB19" s="58" t="str">
        <f t="shared" ca="1" si="3"/>
        <v/>
      </c>
      <c r="AC19" s="58" t="str">
        <f t="shared" ca="1" si="3"/>
        <v/>
      </c>
      <c r="AD19" s="58" t="str">
        <f t="shared" ca="1" si="3"/>
        <v/>
      </c>
      <c r="AE19" s="58" t="str">
        <f t="shared" ca="1" si="3"/>
        <v/>
      </c>
      <c r="AF19" s="58" t="str">
        <f t="shared" ca="1" si="3"/>
        <v/>
      </c>
      <c r="AG19" s="58" t="str">
        <f t="shared" ca="1" si="3"/>
        <v/>
      </c>
      <c r="AH19" s="61" t="str">
        <f t="shared" ca="1" si="5"/>
        <v/>
      </c>
      <c r="AI19" s="49" t="str">
        <f t="shared" ca="1" si="4"/>
        <v/>
      </c>
      <c r="AJ19" s="102" t="str">
        <f t="shared" ca="1" si="4"/>
        <v/>
      </c>
      <c r="AK19" s="41"/>
      <c r="AL19" s="69">
        <f t="shared" ca="1" si="6"/>
        <v>0</v>
      </c>
      <c r="AM19" s="18"/>
      <c r="AN19" s="18"/>
      <c r="AQ19" s="3">
        <f t="shared" si="14"/>
        <v>0</v>
      </c>
      <c r="AR19" s="19" t="s">
        <v>117</v>
      </c>
      <c r="AS19" s="9">
        <v>5</v>
      </c>
      <c r="AT19" s="17" t="str">
        <f t="shared" si="7"/>
        <v/>
      </c>
      <c r="AU19" s="88" t="s">
        <v>108</v>
      </c>
      <c r="AV19" s="20">
        <v>5</v>
      </c>
      <c r="AW19" s="75" t="str">
        <f t="shared" si="8"/>
        <v/>
      </c>
      <c r="AX19" s="76" t="str">
        <f t="shared" si="9"/>
        <v/>
      </c>
      <c r="AY19" s="76" t="str">
        <f t="shared" si="15"/>
        <v/>
      </c>
      <c r="AZ19" s="76" t="str">
        <f t="shared" si="15"/>
        <v/>
      </c>
      <c r="BA19" s="76" t="str">
        <f t="shared" si="15"/>
        <v/>
      </c>
      <c r="BB19" s="76" t="str">
        <f t="shared" si="15"/>
        <v/>
      </c>
      <c r="BC19" s="76" t="str">
        <f t="shared" si="15"/>
        <v/>
      </c>
      <c r="BD19" s="76" t="str">
        <f t="shared" si="15"/>
        <v/>
      </c>
      <c r="BE19" s="76" t="str">
        <f t="shared" si="15"/>
        <v/>
      </c>
      <c r="BF19" s="76" t="str">
        <f t="shared" si="15"/>
        <v/>
      </c>
      <c r="BG19" s="76" t="str">
        <f t="shared" si="15"/>
        <v/>
      </c>
      <c r="BH19" s="76" t="str">
        <f t="shared" si="15"/>
        <v/>
      </c>
      <c r="BI19" s="76" t="str">
        <f t="shared" si="11"/>
        <v/>
      </c>
      <c r="BJ19" s="76" t="str">
        <f t="shared" si="16"/>
        <v/>
      </c>
      <c r="BK19" s="76" t="str">
        <f t="shared" si="16"/>
        <v/>
      </c>
      <c r="BL19" s="76" t="str">
        <f t="shared" si="16"/>
        <v/>
      </c>
      <c r="BM19" s="76" t="str">
        <f t="shared" si="16"/>
        <v/>
      </c>
      <c r="BN19" s="76" t="str">
        <f t="shared" si="16"/>
        <v/>
      </c>
      <c r="BO19" s="76" t="str">
        <f t="shared" si="16"/>
        <v/>
      </c>
      <c r="BP19" s="76" t="str">
        <f t="shared" si="16"/>
        <v/>
      </c>
      <c r="BQ19" s="76" t="str">
        <f t="shared" si="16"/>
        <v/>
      </c>
      <c r="BR19" s="76" t="str">
        <f t="shared" si="16"/>
        <v/>
      </c>
      <c r="BS19" s="76" t="str">
        <f t="shared" si="16"/>
        <v/>
      </c>
      <c r="BT19" s="76" t="str">
        <f t="shared" si="16"/>
        <v/>
      </c>
      <c r="BU19" s="76" t="str">
        <f t="shared" si="16"/>
        <v/>
      </c>
      <c r="BV19" s="76" t="str">
        <f t="shared" si="16"/>
        <v/>
      </c>
      <c r="BW19" s="33" t="str">
        <f t="shared" si="13"/>
        <v/>
      </c>
      <c r="BX19" s="33" t="str">
        <f t="shared" si="13"/>
        <v/>
      </c>
    </row>
    <row r="20" spans="1:76" ht="24.95" customHeight="1" x14ac:dyDescent="0.25">
      <c r="D20" s="10">
        <v>17</v>
      </c>
      <c r="E20" s="11">
        <f t="shared" si="0"/>
        <v>0</v>
      </c>
      <c r="F20" s="46" t="str">
        <f t="shared" ca="1" si="1"/>
        <v/>
      </c>
      <c r="G20" s="79" t="str">
        <f t="shared" ca="1" si="1"/>
        <v/>
      </c>
      <c r="H20" s="48" t="str">
        <f t="shared" ca="1" si="1"/>
        <v/>
      </c>
      <c r="I20" s="81" t="str">
        <f t="shared" ca="1" si="1"/>
        <v/>
      </c>
      <c r="J20" s="81" t="str">
        <f t="shared" ca="1" si="1"/>
        <v/>
      </c>
      <c r="K20" s="81" t="str">
        <f t="shared" ca="1" si="1"/>
        <v/>
      </c>
      <c r="L20" s="81" t="str">
        <f t="shared" ca="1" si="1"/>
        <v/>
      </c>
      <c r="M20" s="81" t="str">
        <f t="shared" ca="1" si="1"/>
        <v/>
      </c>
      <c r="N20" s="81" t="str">
        <f t="shared" ca="1" si="1"/>
        <v/>
      </c>
      <c r="O20" s="58" t="str">
        <f t="shared" ca="1" si="1"/>
        <v/>
      </c>
      <c r="P20" s="58" t="str">
        <f t="shared" ca="1" si="1"/>
        <v/>
      </c>
      <c r="Q20" s="58" t="str">
        <f t="shared" ca="1" si="1"/>
        <v/>
      </c>
      <c r="R20" s="58" t="str">
        <f t="shared" ca="1" si="1"/>
        <v/>
      </c>
      <c r="S20" s="61" t="str">
        <f t="shared" ca="1" si="2"/>
        <v/>
      </c>
      <c r="T20" s="58" t="str">
        <f t="shared" ca="1" si="3"/>
        <v/>
      </c>
      <c r="U20" s="58" t="str">
        <f t="shared" ca="1" si="3"/>
        <v/>
      </c>
      <c r="V20" s="58" t="str">
        <f t="shared" ca="1" si="3"/>
        <v/>
      </c>
      <c r="W20" s="58" t="str">
        <f t="shared" ca="1" si="3"/>
        <v/>
      </c>
      <c r="X20" s="58" t="str">
        <f t="shared" ca="1" si="3"/>
        <v/>
      </c>
      <c r="Y20" s="58" t="str">
        <f t="shared" ca="1" si="3"/>
        <v/>
      </c>
      <c r="Z20" s="58" t="str">
        <f t="shared" ca="1" si="3"/>
        <v/>
      </c>
      <c r="AA20" s="58" t="str">
        <f t="shared" ca="1" si="3"/>
        <v/>
      </c>
      <c r="AB20" s="58" t="str">
        <f t="shared" ca="1" si="3"/>
        <v/>
      </c>
      <c r="AC20" s="58" t="str">
        <f t="shared" ca="1" si="3"/>
        <v/>
      </c>
      <c r="AD20" s="58" t="str">
        <f t="shared" ca="1" si="3"/>
        <v/>
      </c>
      <c r="AE20" s="58" t="str">
        <f t="shared" ca="1" si="3"/>
        <v/>
      </c>
      <c r="AF20" s="58" t="str">
        <f t="shared" ca="1" si="3"/>
        <v/>
      </c>
      <c r="AG20" s="58" t="str">
        <f t="shared" ca="1" si="3"/>
        <v/>
      </c>
      <c r="AH20" s="61" t="str">
        <f t="shared" ca="1" si="5"/>
        <v/>
      </c>
      <c r="AI20" s="49" t="str">
        <f t="shared" ca="1" si="4"/>
        <v/>
      </c>
      <c r="AJ20" s="102" t="str">
        <f t="shared" ca="1" si="4"/>
        <v/>
      </c>
      <c r="AK20" s="41"/>
      <c r="AL20" s="69">
        <f t="shared" ca="1" si="6"/>
        <v>0</v>
      </c>
      <c r="AM20" s="18"/>
      <c r="AN20" s="18"/>
      <c r="AQ20" s="3">
        <f t="shared" si="14"/>
        <v>0</v>
      </c>
      <c r="AR20" s="19" t="s">
        <v>118</v>
      </c>
      <c r="AS20" s="9">
        <v>6</v>
      </c>
      <c r="AT20" s="17" t="str">
        <f t="shared" si="7"/>
        <v/>
      </c>
      <c r="AU20" s="88" t="s">
        <v>108</v>
      </c>
      <c r="AV20" s="20">
        <v>6</v>
      </c>
      <c r="AW20" s="75" t="str">
        <f t="shared" si="8"/>
        <v/>
      </c>
      <c r="AX20" s="76" t="str">
        <f t="shared" si="9"/>
        <v/>
      </c>
      <c r="AY20" s="76" t="str">
        <f t="shared" si="15"/>
        <v/>
      </c>
      <c r="AZ20" s="76" t="str">
        <f t="shared" si="15"/>
        <v/>
      </c>
      <c r="BA20" s="76" t="str">
        <f t="shared" si="15"/>
        <v/>
      </c>
      <c r="BB20" s="76" t="str">
        <f t="shared" si="15"/>
        <v/>
      </c>
      <c r="BC20" s="76" t="str">
        <f t="shared" si="15"/>
        <v/>
      </c>
      <c r="BD20" s="76" t="str">
        <f t="shared" si="15"/>
        <v/>
      </c>
      <c r="BE20" s="76" t="str">
        <f t="shared" si="15"/>
        <v/>
      </c>
      <c r="BF20" s="76" t="str">
        <f t="shared" si="15"/>
        <v/>
      </c>
      <c r="BG20" s="76" t="str">
        <f t="shared" si="15"/>
        <v/>
      </c>
      <c r="BH20" s="76" t="str">
        <f t="shared" si="15"/>
        <v/>
      </c>
      <c r="BI20" s="76" t="str">
        <f t="shared" si="11"/>
        <v/>
      </c>
      <c r="BJ20" s="76" t="str">
        <f t="shared" si="16"/>
        <v/>
      </c>
      <c r="BK20" s="76" t="str">
        <f t="shared" si="16"/>
        <v/>
      </c>
      <c r="BL20" s="76" t="str">
        <f t="shared" si="16"/>
        <v/>
      </c>
      <c r="BM20" s="76" t="str">
        <f t="shared" si="16"/>
        <v/>
      </c>
      <c r="BN20" s="76" t="str">
        <f t="shared" si="16"/>
        <v/>
      </c>
      <c r="BO20" s="76" t="str">
        <f t="shared" si="16"/>
        <v/>
      </c>
      <c r="BP20" s="76" t="str">
        <f t="shared" si="16"/>
        <v/>
      </c>
      <c r="BQ20" s="76" t="str">
        <f t="shared" si="16"/>
        <v/>
      </c>
      <c r="BR20" s="76" t="str">
        <f t="shared" si="16"/>
        <v/>
      </c>
      <c r="BS20" s="76" t="str">
        <f t="shared" si="16"/>
        <v/>
      </c>
      <c r="BT20" s="76" t="str">
        <f t="shared" si="16"/>
        <v/>
      </c>
      <c r="BU20" s="76" t="str">
        <f t="shared" si="16"/>
        <v/>
      </c>
      <c r="BV20" s="76" t="str">
        <f t="shared" si="16"/>
        <v/>
      </c>
      <c r="BW20" s="33" t="str">
        <f t="shared" si="13"/>
        <v/>
      </c>
      <c r="BX20" s="33" t="str">
        <f t="shared" si="13"/>
        <v/>
      </c>
    </row>
    <row r="21" spans="1:76" ht="20.100000000000001" customHeight="1" x14ac:dyDescent="0.25">
      <c r="D21" s="10">
        <v>19</v>
      </c>
      <c r="E21" s="11">
        <f t="shared" si="0"/>
        <v>0</v>
      </c>
      <c r="F21" s="46" t="str">
        <f ca="1">IF($E21=0,"",OFFSET($AT$14,$E21,F$8))</f>
        <v/>
      </c>
      <c r="G21" s="47" t="str">
        <f ca="1">IF($E21=0,"",OFFSET($AT$14,$E21,G$8))</f>
        <v/>
      </c>
      <c r="H21" s="46" t="str">
        <f ca="1">IF($E21=0,"",OFFSET($AT$14,$E21,H$8))</f>
        <v/>
      </c>
      <c r="I21" s="80" t="str">
        <f ca="1">IF($E21=0,"",OFFSET($AT$14,$E21,I$8))</f>
        <v/>
      </c>
      <c r="J21" s="81" t="str">
        <f ca="1">IF($E21=0,"",OFFSET($AT$14,$E21,J$8))</f>
        <v/>
      </c>
      <c r="K21" s="80"/>
      <c r="L21" s="81"/>
      <c r="M21" s="80"/>
      <c r="N21" s="80"/>
      <c r="O21" s="58" t="str">
        <f ca="1">IF($E21=0,"",OFFSET($AT$14,$E21,O$8))</f>
        <v/>
      </c>
      <c r="P21" s="58" t="str">
        <f ca="1">IF($E21=0,"",OFFSET($AT$14,$E21,P$8))</f>
        <v/>
      </c>
      <c r="Q21" s="58" t="str">
        <f ca="1">IF($E21=0,"",OFFSET($AT$14,$E21,Q$8))</f>
        <v/>
      </c>
      <c r="R21" s="58" t="str">
        <f ca="1">IF($E21=0,"",OFFSET($AT$14,$E21,R$8))</f>
        <v/>
      </c>
      <c r="S21" s="60"/>
      <c r="T21" s="58" t="str">
        <f t="shared" ref="T21:AF21" ca="1" si="17">IF($E21=0,"",OFFSET($AT$14,$E21,T$8))</f>
        <v/>
      </c>
      <c r="U21" s="58" t="str">
        <f t="shared" ca="1" si="17"/>
        <v/>
      </c>
      <c r="V21" s="58" t="str">
        <f t="shared" ca="1" si="17"/>
        <v/>
      </c>
      <c r="W21" s="58" t="str">
        <f t="shared" ca="1" si="17"/>
        <v/>
      </c>
      <c r="X21" s="58" t="str">
        <f t="shared" ca="1" si="17"/>
        <v/>
      </c>
      <c r="Y21" s="58" t="str">
        <f t="shared" ca="1" si="17"/>
        <v/>
      </c>
      <c r="Z21" s="58" t="str">
        <f t="shared" ca="1" si="17"/>
        <v/>
      </c>
      <c r="AA21" s="58" t="str">
        <f t="shared" ca="1" si="17"/>
        <v/>
      </c>
      <c r="AB21" s="58" t="str">
        <f t="shared" ca="1" si="17"/>
        <v/>
      </c>
      <c r="AC21" s="58" t="str">
        <f t="shared" ca="1" si="17"/>
        <v/>
      </c>
      <c r="AD21" s="58" t="str">
        <f t="shared" ca="1" si="17"/>
        <v/>
      </c>
      <c r="AE21" s="58" t="str">
        <f t="shared" ca="1" si="17"/>
        <v/>
      </c>
      <c r="AF21" s="58" t="str">
        <f t="shared" ca="1" si="17"/>
        <v/>
      </c>
      <c r="AG21" s="58"/>
      <c r="AH21" s="61" t="str">
        <f ca="1">IF(G21="","",SUM(T21:AF21))</f>
        <v/>
      </c>
      <c r="AI21" s="49"/>
      <c r="AJ21" s="102"/>
      <c r="AK21" s="41"/>
      <c r="AL21" s="69">
        <f t="shared" ca="1" si="6"/>
        <v>0</v>
      </c>
      <c r="AM21" s="18"/>
      <c r="AN21" s="18"/>
      <c r="AQ21" s="3">
        <f t="shared" si="14"/>
        <v>0</v>
      </c>
      <c r="AR21" s="19" t="s">
        <v>119</v>
      </c>
      <c r="AS21" s="9">
        <v>7</v>
      </c>
      <c r="AT21" s="17" t="str">
        <f t="shared" si="7"/>
        <v/>
      </c>
      <c r="AU21" s="88" t="s">
        <v>108</v>
      </c>
      <c r="AV21" s="20">
        <v>7</v>
      </c>
      <c r="AW21" s="75" t="str">
        <f t="shared" si="8"/>
        <v/>
      </c>
      <c r="AX21" s="76" t="str">
        <f t="shared" si="9"/>
        <v/>
      </c>
      <c r="AY21" s="76" t="str">
        <f t="shared" si="15"/>
        <v/>
      </c>
      <c r="AZ21" s="76" t="str">
        <f t="shared" si="15"/>
        <v/>
      </c>
      <c r="BA21" s="76" t="str">
        <f t="shared" si="15"/>
        <v/>
      </c>
      <c r="BB21" s="76" t="str">
        <f t="shared" si="15"/>
        <v/>
      </c>
      <c r="BC21" s="76" t="str">
        <f t="shared" si="15"/>
        <v/>
      </c>
      <c r="BD21" s="76" t="str">
        <f t="shared" si="15"/>
        <v/>
      </c>
      <c r="BE21" s="76" t="str">
        <f t="shared" si="15"/>
        <v/>
      </c>
      <c r="BF21" s="76" t="str">
        <f t="shared" si="15"/>
        <v/>
      </c>
      <c r="BG21" s="76" t="str">
        <f t="shared" si="15"/>
        <v/>
      </c>
      <c r="BH21" s="76" t="str">
        <f t="shared" si="15"/>
        <v/>
      </c>
      <c r="BI21" s="76" t="str">
        <f t="shared" si="11"/>
        <v/>
      </c>
      <c r="BJ21" s="76" t="str">
        <f t="shared" si="16"/>
        <v/>
      </c>
      <c r="BK21" s="76" t="str">
        <f t="shared" si="16"/>
        <v/>
      </c>
      <c r="BL21" s="76" t="str">
        <f t="shared" si="16"/>
        <v/>
      </c>
      <c r="BM21" s="76" t="str">
        <f t="shared" si="16"/>
        <v/>
      </c>
      <c r="BN21" s="76" t="str">
        <f t="shared" si="16"/>
        <v/>
      </c>
      <c r="BO21" s="76" t="str">
        <f t="shared" si="16"/>
        <v/>
      </c>
      <c r="BP21" s="76" t="str">
        <f t="shared" si="16"/>
        <v/>
      </c>
      <c r="BQ21" s="76" t="str">
        <f t="shared" si="16"/>
        <v/>
      </c>
      <c r="BR21" s="76" t="str">
        <f t="shared" si="16"/>
        <v/>
      </c>
      <c r="BS21" s="76" t="str">
        <f t="shared" si="16"/>
        <v/>
      </c>
      <c r="BT21" s="76" t="str">
        <f t="shared" si="16"/>
        <v/>
      </c>
      <c r="BU21" s="76" t="str">
        <f t="shared" si="16"/>
        <v/>
      </c>
      <c r="BV21" s="76" t="str">
        <f t="shared" si="16"/>
        <v/>
      </c>
      <c r="BW21" s="33" t="str">
        <f t="shared" si="13"/>
        <v/>
      </c>
      <c r="BX21" s="33" t="str">
        <f t="shared" si="13"/>
        <v/>
      </c>
    </row>
    <row r="22" spans="1:76" ht="19.5" customHeight="1" x14ac:dyDescent="0.25">
      <c r="F22" s="307" t="s">
        <v>112</v>
      </c>
      <c r="G22" s="308"/>
      <c r="H22" s="323" t="s">
        <v>153</v>
      </c>
      <c r="I22" s="325" t="s">
        <v>160</v>
      </c>
      <c r="J22" s="325" t="s">
        <v>5</v>
      </c>
      <c r="K22" s="325" t="s">
        <v>161</v>
      </c>
      <c r="L22" s="342" t="s">
        <v>162</v>
      </c>
      <c r="M22" s="342" t="s">
        <v>163</v>
      </c>
      <c r="N22" s="342" t="s">
        <v>164</v>
      </c>
      <c r="O22" s="344" t="s">
        <v>167</v>
      </c>
      <c r="P22" s="345"/>
      <c r="Q22" s="345"/>
      <c r="R22" s="345"/>
      <c r="S22" s="336" t="s">
        <v>159</v>
      </c>
      <c r="T22" s="337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54"/>
      <c r="AI22" s="49"/>
      <c r="AJ22" s="49"/>
      <c r="AK22" s="41"/>
      <c r="AL22" s="69"/>
      <c r="AM22" s="18"/>
      <c r="AQ22" s="3">
        <f t="shared" si="14"/>
        <v>0</v>
      </c>
      <c r="AR22" s="19" t="s">
        <v>120</v>
      </c>
      <c r="AS22" s="9">
        <v>8</v>
      </c>
      <c r="AT22" s="17" t="str">
        <f t="shared" si="7"/>
        <v/>
      </c>
      <c r="AU22" s="88" t="s">
        <v>108</v>
      </c>
      <c r="AV22" s="20">
        <v>8</v>
      </c>
      <c r="AW22" s="75" t="str">
        <f t="shared" si="8"/>
        <v/>
      </c>
      <c r="AX22" s="76" t="str">
        <f t="shared" si="9"/>
        <v/>
      </c>
      <c r="AY22" s="76" t="str">
        <f t="shared" si="15"/>
        <v/>
      </c>
      <c r="AZ22" s="76" t="str">
        <f t="shared" si="15"/>
        <v/>
      </c>
      <c r="BA22" s="76" t="str">
        <f t="shared" si="15"/>
        <v/>
      </c>
      <c r="BB22" s="76" t="str">
        <f t="shared" si="15"/>
        <v/>
      </c>
      <c r="BC22" s="76" t="str">
        <f t="shared" si="15"/>
        <v/>
      </c>
      <c r="BD22" s="76" t="str">
        <f t="shared" si="15"/>
        <v/>
      </c>
      <c r="BE22" s="76" t="str">
        <f t="shared" si="15"/>
        <v/>
      </c>
      <c r="BF22" s="76" t="str">
        <f t="shared" si="15"/>
        <v/>
      </c>
      <c r="BG22" s="76" t="str">
        <f t="shared" si="15"/>
        <v/>
      </c>
      <c r="BH22" s="76" t="str">
        <f t="shared" si="15"/>
        <v/>
      </c>
      <c r="BI22" s="76" t="str">
        <f t="shared" si="11"/>
        <v/>
      </c>
      <c r="BJ22" s="76" t="str">
        <f t="shared" si="16"/>
        <v/>
      </c>
      <c r="BK22" s="76" t="str">
        <f t="shared" si="16"/>
        <v/>
      </c>
      <c r="BL22" s="76" t="str">
        <f t="shared" si="16"/>
        <v/>
      </c>
      <c r="BM22" s="76" t="str">
        <f t="shared" si="16"/>
        <v/>
      </c>
      <c r="BN22" s="76" t="str">
        <f t="shared" si="16"/>
        <v/>
      </c>
      <c r="BO22" s="76" t="str">
        <f t="shared" si="16"/>
        <v/>
      </c>
      <c r="BP22" s="76" t="str">
        <f t="shared" si="16"/>
        <v/>
      </c>
      <c r="BQ22" s="76" t="str">
        <f t="shared" si="16"/>
        <v/>
      </c>
      <c r="BR22" s="76" t="str">
        <f t="shared" si="16"/>
        <v/>
      </c>
      <c r="BS22" s="76" t="str">
        <f t="shared" si="16"/>
        <v/>
      </c>
      <c r="BT22" s="76" t="str">
        <f t="shared" si="16"/>
        <v/>
      </c>
      <c r="BU22" s="76" t="str">
        <f t="shared" si="16"/>
        <v/>
      </c>
      <c r="BV22" s="76" t="str">
        <f t="shared" si="16"/>
        <v/>
      </c>
      <c r="BW22" s="33" t="str">
        <f t="shared" si="13"/>
        <v/>
      </c>
      <c r="BX22" s="33" t="str">
        <f t="shared" si="13"/>
        <v/>
      </c>
    </row>
    <row r="23" spans="1:76" ht="24" customHeight="1" x14ac:dyDescent="0.25">
      <c r="F23" s="309"/>
      <c r="G23" s="310"/>
      <c r="H23" s="324"/>
      <c r="I23" s="326"/>
      <c r="J23" s="326"/>
      <c r="K23" s="326"/>
      <c r="L23" s="343"/>
      <c r="M23" s="343"/>
      <c r="N23" s="343"/>
      <c r="O23" s="327" t="s">
        <v>24</v>
      </c>
      <c r="P23" s="327"/>
      <c r="Q23" s="335" t="s">
        <v>25</v>
      </c>
      <c r="R23" s="335"/>
      <c r="S23" s="338"/>
      <c r="T23" s="339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9"/>
      <c r="AJ23" s="49"/>
      <c r="AK23" s="41"/>
      <c r="AM23" s="18"/>
      <c r="AQ23" s="3">
        <f t="shared" si="14"/>
        <v>0</v>
      </c>
      <c r="AR23" s="19" t="s">
        <v>121</v>
      </c>
      <c r="AS23" s="9">
        <v>9</v>
      </c>
      <c r="AT23" s="17" t="str">
        <f t="shared" si="7"/>
        <v/>
      </c>
      <c r="AU23" s="88" t="s">
        <v>108</v>
      </c>
      <c r="AV23" s="20">
        <v>9</v>
      </c>
      <c r="AW23" s="75" t="str">
        <f t="shared" si="8"/>
        <v/>
      </c>
      <c r="AX23" s="76" t="str">
        <f t="shared" si="9"/>
        <v/>
      </c>
      <c r="AY23" s="76" t="str">
        <f t="shared" ref="AY23:BH24" si="18">IF(I44="","",I44)</f>
        <v/>
      </c>
      <c r="AZ23" s="76" t="str">
        <f t="shared" si="18"/>
        <v/>
      </c>
      <c r="BA23" s="76" t="str">
        <f t="shared" si="18"/>
        <v/>
      </c>
      <c r="BB23" s="76" t="str">
        <f t="shared" si="18"/>
        <v/>
      </c>
      <c r="BC23" s="76" t="str">
        <f t="shared" si="18"/>
        <v/>
      </c>
      <c r="BD23" s="76" t="str">
        <f t="shared" si="18"/>
        <v/>
      </c>
      <c r="BE23" s="76" t="str">
        <f t="shared" si="18"/>
        <v/>
      </c>
      <c r="BF23" s="76" t="str">
        <f t="shared" si="18"/>
        <v/>
      </c>
      <c r="BG23" s="76" t="str">
        <f t="shared" si="18"/>
        <v/>
      </c>
      <c r="BH23" s="76" t="str">
        <f t="shared" si="18"/>
        <v/>
      </c>
      <c r="BI23" s="76" t="str">
        <f t="shared" ref="BI23:BV24" si="19">IF(T44="","",T44)</f>
        <v/>
      </c>
      <c r="BJ23" s="76" t="str">
        <f t="shared" si="19"/>
        <v/>
      </c>
      <c r="BK23" s="76" t="str">
        <f t="shared" si="19"/>
        <v/>
      </c>
      <c r="BL23" s="76" t="str">
        <f t="shared" si="19"/>
        <v/>
      </c>
      <c r="BM23" s="76" t="str">
        <f t="shared" si="19"/>
        <v/>
      </c>
      <c r="BN23" s="76" t="str">
        <f t="shared" si="19"/>
        <v/>
      </c>
      <c r="BO23" s="76" t="str">
        <f t="shared" si="19"/>
        <v/>
      </c>
      <c r="BP23" s="76" t="str">
        <f t="shared" si="19"/>
        <v/>
      </c>
      <c r="BQ23" s="76" t="str">
        <f t="shared" si="19"/>
        <v/>
      </c>
      <c r="BR23" s="76" t="str">
        <f t="shared" si="19"/>
        <v/>
      </c>
      <c r="BS23" s="76" t="str">
        <f t="shared" si="19"/>
        <v/>
      </c>
      <c r="BT23" s="76" t="str">
        <f t="shared" si="19"/>
        <v/>
      </c>
      <c r="BU23" s="76" t="str">
        <f t="shared" si="19"/>
        <v/>
      </c>
      <c r="BV23" s="76" t="str">
        <f t="shared" si="19"/>
        <v/>
      </c>
      <c r="BW23" s="33" t="str">
        <f>AJ44</f>
        <v/>
      </c>
      <c r="BX23" s="33" t="str">
        <f>AK44</f>
        <v/>
      </c>
    </row>
    <row r="24" spans="1:76" ht="15" customHeight="1" x14ac:dyDescent="0.25">
      <c r="A24" s="41" t="s">
        <v>252</v>
      </c>
      <c r="F24" s="305" t="str">
        <f>TEXT(G4,"m/d/yy hh:mm")&amp;" to "&amp;TEXT(G5,"m/d/yy hh:mm")</f>
        <v>5/22/14 07:00 to 5/23/14 07:00</v>
      </c>
      <c r="G24" s="305"/>
      <c r="H24" s="311">
        <f ca="1">COUNTIF(M12:M20,"&gt;0")</f>
        <v>1</v>
      </c>
      <c r="I24" s="313">
        <f t="shared" ref="I24:N24" ca="1" si="20">SUM(I12:I20)</f>
        <v>176</v>
      </c>
      <c r="J24" s="315">
        <f t="shared" ca="1" si="20"/>
        <v>162</v>
      </c>
      <c r="K24" s="315">
        <f t="shared" ca="1" si="20"/>
        <v>14</v>
      </c>
      <c r="L24" s="346">
        <f t="shared" ca="1" si="20"/>
        <v>130</v>
      </c>
      <c r="M24" s="315">
        <f t="shared" ca="1" si="20"/>
        <v>126</v>
      </c>
      <c r="N24" s="315">
        <f t="shared" ca="1" si="20"/>
        <v>4</v>
      </c>
      <c r="O24" s="317">
        <f ca="1">SUM(S12:S20)</f>
        <v>25</v>
      </c>
      <c r="P24" s="317"/>
      <c r="Q24" s="317">
        <f ca="1">SUM(AH12:AH20)</f>
        <v>60</v>
      </c>
      <c r="R24" s="313"/>
      <c r="S24" s="319">
        <f ca="1">SUM(AI12:AI20)</f>
        <v>21.200000762939453</v>
      </c>
      <c r="T24" s="313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M24" s="18"/>
      <c r="AQ24" s="3">
        <f t="shared" si="14"/>
        <v>0</v>
      </c>
      <c r="AR24" s="19" t="s">
        <v>122</v>
      </c>
      <c r="AS24" s="9">
        <v>10</v>
      </c>
      <c r="AT24" s="17" t="str">
        <f t="shared" si="7"/>
        <v/>
      </c>
      <c r="AU24" s="88" t="s">
        <v>108</v>
      </c>
      <c r="AV24" s="20">
        <v>10</v>
      </c>
      <c r="AW24" s="77" t="str">
        <f t="shared" si="8"/>
        <v/>
      </c>
      <c r="AX24" s="78" t="str">
        <f t="shared" si="9"/>
        <v/>
      </c>
      <c r="AY24" s="78" t="str">
        <f t="shared" si="18"/>
        <v/>
      </c>
      <c r="AZ24" s="78" t="str">
        <f t="shared" si="18"/>
        <v/>
      </c>
      <c r="BA24" s="78" t="str">
        <f t="shared" si="18"/>
        <v/>
      </c>
      <c r="BB24" s="78" t="str">
        <f t="shared" si="18"/>
        <v/>
      </c>
      <c r="BC24" s="78" t="str">
        <f t="shared" si="18"/>
        <v/>
      </c>
      <c r="BD24" s="78" t="str">
        <f t="shared" si="18"/>
        <v/>
      </c>
      <c r="BE24" s="78" t="str">
        <f t="shared" si="18"/>
        <v/>
      </c>
      <c r="BF24" s="78" t="str">
        <f t="shared" si="18"/>
        <v/>
      </c>
      <c r="BG24" s="78" t="str">
        <f t="shared" si="18"/>
        <v/>
      </c>
      <c r="BH24" s="78" t="str">
        <f t="shared" si="18"/>
        <v/>
      </c>
      <c r="BI24" s="78" t="str">
        <f t="shared" si="19"/>
        <v/>
      </c>
      <c r="BJ24" s="78" t="str">
        <f t="shared" si="19"/>
        <v/>
      </c>
      <c r="BK24" s="78" t="str">
        <f t="shared" si="19"/>
        <v/>
      </c>
      <c r="BL24" s="78" t="str">
        <f t="shared" si="19"/>
        <v/>
      </c>
      <c r="BM24" s="78" t="str">
        <f t="shared" si="19"/>
        <v/>
      </c>
      <c r="BN24" s="78" t="str">
        <f t="shared" si="19"/>
        <v/>
      </c>
      <c r="BO24" s="78" t="str">
        <f t="shared" si="19"/>
        <v/>
      </c>
      <c r="BP24" s="78" t="str">
        <f t="shared" si="19"/>
        <v/>
      </c>
      <c r="BQ24" s="78" t="str">
        <f t="shared" si="19"/>
        <v/>
      </c>
      <c r="BR24" s="78" t="str">
        <f t="shared" si="19"/>
        <v/>
      </c>
      <c r="BS24" s="78" t="str">
        <f t="shared" si="19"/>
        <v/>
      </c>
      <c r="BT24" s="78" t="str">
        <f t="shared" si="19"/>
        <v/>
      </c>
      <c r="BU24" s="78" t="str">
        <f t="shared" si="19"/>
        <v/>
      </c>
      <c r="BV24" s="78" t="str">
        <f t="shared" si="19"/>
        <v/>
      </c>
      <c r="BW24" s="34" t="str">
        <f>AJ45</f>
        <v/>
      </c>
      <c r="BX24" s="34" t="str">
        <f>AK45</f>
        <v/>
      </c>
    </row>
    <row r="25" spans="1:76" ht="15" customHeight="1" x14ac:dyDescent="0.25">
      <c r="F25" s="306"/>
      <c r="G25" s="306"/>
      <c r="H25" s="312"/>
      <c r="I25" s="314"/>
      <c r="J25" s="316"/>
      <c r="K25" s="316"/>
      <c r="L25" s="347"/>
      <c r="M25" s="316"/>
      <c r="N25" s="316"/>
      <c r="O25" s="318"/>
      <c r="P25" s="318"/>
      <c r="Q25" s="314"/>
      <c r="R25" s="314"/>
      <c r="S25" s="314"/>
      <c r="T25" s="314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M25" s="68"/>
      <c r="AN25" s="68"/>
      <c r="AO25" s="68"/>
      <c r="AP25" s="68"/>
      <c r="AQ25" s="3">
        <f t="shared" si="14"/>
        <v>0</v>
      </c>
      <c r="AR25" s="19" t="s">
        <v>123</v>
      </c>
      <c r="AS25" s="9">
        <v>11</v>
      </c>
      <c r="AT25" s="17" t="str">
        <f t="shared" si="7"/>
        <v/>
      </c>
      <c r="AU25" s="87" t="s">
        <v>109</v>
      </c>
      <c r="AV25" s="20">
        <v>1</v>
      </c>
      <c r="AW25" s="73" t="str">
        <f t="shared" ref="AW25:BH25" si="21">IF(G58="","",G58)</f>
        <v>Resize to show all values</v>
      </c>
      <c r="AX25" s="74" t="str">
        <f t="shared" si="21"/>
        <v>Resize to show all values</v>
      </c>
      <c r="AY25" s="74" t="str">
        <f t="shared" si="21"/>
        <v/>
      </c>
      <c r="AZ25" s="74" t="str">
        <f t="shared" si="21"/>
        <v/>
      </c>
      <c r="BA25" s="74" t="str">
        <f t="shared" si="21"/>
        <v/>
      </c>
      <c r="BB25" s="74" t="str">
        <f t="shared" si="21"/>
        <v/>
      </c>
      <c r="BC25" s="74" t="str">
        <f t="shared" si="21"/>
        <v/>
      </c>
      <c r="BD25" s="74" t="str">
        <f t="shared" si="21"/>
        <v/>
      </c>
      <c r="BE25" s="74" t="str">
        <f t="shared" si="21"/>
        <v/>
      </c>
      <c r="BF25" s="74" t="str">
        <f t="shared" si="21"/>
        <v/>
      </c>
      <c r="BG25" s="74" t="str">
        <f t="shared" si="21"/>
        <v/>
      </c>
      <c r="BH25" s="74" t="str">
        <f t="shared" si="21"/>
        <v/>
      </c>
      <c r="BI25" s="74" t="str">
        <f t="shared" ref="BI25:BV25" si="22">IF(T58="","",T58)</f>
        <v/>
      </c>
      <c r="BJ25" s="74" t="str">
        <f t="shared" si="22"/>
        <v/>
      </c>
      <c r="BK25" s="74" t="str">
        <f t="shared" si="22"/>
        <v/>
      </c>
      <c r="BL25" s="74" t="str">
        <f t="shared" si="22"/>
        <v/>
      </c>
      <c r="BM25" s="74" t="str">
        <f t="shared" si="22"/>
        <v/>
      </c>
      <c r="BN25" s="74" t="str">
        <f t="shared" si="22"/>
        <v/>
      </c>
      <c r="BO25" s="74" t="str">
        <f t="shared" si="22"/>
        <v/>
      </c>
      <c r="BP25" s="74" t="str">
        <f t="shared" si="22"/>
        <v/>
      </c>
      <c r="BQ25" s="74" t="str">
        <f t="shared" si="22"/>
        <v/>
      </c>
      <c r="BR25" s="74" t="str">
        <f t="shared" si="22"/>
        <v/>
      </c>
      <c r="BS25" s="74" t="str">
        <f t="shared" si="22"/>
        <v/>
      </c>
      <c r="BT25" s="74" t="str">
        <f t="shared" si="22"/>
        <v/>
      </c>
      <c r="BU25" s="74" t="str">
        <f t="shared" si="22"/>
        <v/>
      </c>
      <c r="BV25" s="74" t="str">
        <f t="shared" si="22"/>
        <v/>
      </c>
      <c r="BW25" s="32" t="str">
        <f t="shared" ref="BW25:BW34" si="23">AJ58</f>
        <v/>
      </c>
      <c r="BX25" s="32" t="str">
        <f t="shared" ref="BX25:BX34" si="24">AK58</f>
        <v/>
      </c>
    </row>
    <row r="26" spans="1:76" x14ac:dyDescent="0.25">
      <c r="B26" s="41"/>
      <c r="C26" s="41"/>
      <c r="D26" s="41"/>
      <c r="E26" s="41"/>
      <c r="F26" s="41"/>
      <c r="G26" s="41"/>
      <c r="H26" s="54"/>
      <c r="I26" s="55"/>
      <c r="J26" s="41"/>
      <c r="K26" s="41"/>
      <c r="L26" s="41"/>
      <c r="M26" s="41"/>
      <c r="N26" s="41"/>
      <c r="O26" s="91">
        <f ca="1">SUM(O12:O21)</f>
        <v>25</v>
      </c>
      <c r="P26" s="91">
        <f ca="1">SUM(P12:P21)</f>
        <v>0</v>
      </c>
      <c r="Q26" s="91">
        <f ca="1">SUM(Q12:Q21)</f>
        <v>0</v>
      </c>
      <c r="R26" s="91">
        <f ca="1">SUM(R12:R21)</f>
        <v>0</v>
      </c>
      <c r="S26" s="91"/>
      <c r="T26" s="91">
        <f t="shared" ref="T26:AG26" ca="1" si="25">SUM(T12:T21)</f>
        <v>0</v>
      </c>
      <c r="U26" s="91">
        <f t="shared" ca="1" si="25"/>
        <v>31</v>
      </c>
      <c r="V26" s="91">
        <f t="shared" ca="1" si="25"/>
        <v>0</v>
      </c>
      <c r="W26" s="91">
        <f t="shared" ca="1" si="25"/>
        <v>0</v>
      </c>
      <c r="X26" s="91">
        <f t="shared" ca="1" si="25"/>
        <v>0</v>
      </c>
      <c r="Y26" s="91">
        <f t="shared" ca="1" si="25"/>
        <v>11</v>
      </c>
      <c r="Z26" s="91">
        <f t="shared" ca="1" si="25"/>
        <v>6</v>
      </c>
      <c r="AA26" s="91">
        <f t="shared" ca="1" si="25"/>
        <v>9</v>
      </c>
      <c r="AB26" s="91">
        <f t="shared" ca="1" si="25"/>
        <v>3</v>
      </c>
      <c r="AC26" s="91">
        <f t="shared" ca="1" si="25"/>
        <v>0</v>
      </c>
      <c r="AD26" s="91">
        <f t="shared" ca="1" si="25"/>
        <v>0</v>
      </c>
      <c r="AE26" s="91">
        <f t="shared" ca="1" si="25"/>
        <v>0</v>
      </c>
      <c r="AF26" s="91">
        <f t="shared" ca="1" si="25"/>
        <v>0</v>
      </c>
      <c r="AG26" s="91">
        <f t="shared" ca="1" si="25"/>
        <v>0</v>
      </c>
      <c r="AH26" s="41"/>
      <c r="AI26" s="41"/>
      <c r="AJ26" s="41"/>
      <c r="AK26" s="41"/>
      <c r="AM26" s="68"/>
      <c r="AN26" s="68"/>
      <c r="AO26" s="68"/>
      <c r="AP26" s="68"/>
      <c r="AQ26" s="3">
        <f t="shared" si="14"/>
        <v>0</v>
      </c>
      <c r="AR26" s="19" t="s">
        <v>124</v>
      </c>
      <c r="AS26" s="9">
        <v>12</v>
      </c>
      <c r="AT26" s="17" t="str">
        <f t="shared" si="7"/>
        <v/>
      </c>
      <c r="AU26" s="87" t="s">
        <v>109</v>
      </c>
      <c r="AV26" s="20">
        <v>2</v>
      </c>
      <c r="AW26" s="75" t="str">
        <f t="shared" ref="AW26:BH26" si="26">IF(G59="","",G59)</f>
        <v/>
      </c>
      <c r="AX26" s="76" t="str">
        <f t="shared" si="26"/>
        <v/>
      </c>
      <c r="AY26" s="76" t="str">
        <f t="shared" si="26"/>
        <v/>
      </c>
      <c r="AZ26" s="76" t="str">
        <f t="shared" si="26"/>
        <v/>
      </c>
      <c r="BA26" s="76" t="str">
        <f t="shared" si="26"/>
        <v/>
      </c>
      <c r="BB26" s="76" t="str">
        <f t="shared" si="26"/>
        <v/>
      </c>
      <c r="BC26" s="76" t="str">
        <f t="shared" si="26"/>
        <v/>
      </c>
      <c r="BD26" s="76" t="str">
        <f t="shared" si="26"/>
        <v/>
      </c>
      <c r="BE26" s="76" t="str">
        <f t="shared" si="26"/>
        <v/>
      </c>
      <c r="BF26" s="76" t="str">
        <f t="shared" si="26"/>
        <v/>
      </c>
      <c r="BG26" s="76" t="str">
        <f t="shared" si="26"/>
        <v/>
      </c>
      <c r="BH26" s="76" t="str">
        <f t="shared" si="26"/>
        <v/>
      </c>
      <c r="BI26" s="76" t="str">
        <f t="shared" ref="BI26:BV26" si="27">IF(T59="","",T59)</f>
        <v/>
      </c>
      <c r="BJ26" s="76" t="str">
        <f t="shared" si="27"/>
        <v/>
      </c>
      <c r="BK26" s="76" t="str">
        <f t="shared" si="27"/>
        <v/>
      </c>
      <c r="BL26" s="76" t="str">
        <f t="shared" si="27"/>
        <v/>
      </c>
      <c r="BM26" s="76" t="str">
        <f t="shared" si="27"/>
        <v/>
      </c>
      <c r="BN26" s="76" t="str">
        <f t="shared" si="27"/>
        <v/>
      </c>
      <c r="BO26" s="76" t="str">
        <f t="shared" si="27"/>
        <v/>
      </c>
      <c r="BP26" s="76" t="str">
        <f t="shared" si="27"/>
        <v/>
      </c>
      <c r="BQ26" s="76" t="str">
        <f t="shared" si="27"/>
        <v/>
      </c>
      <c r="BR26" s="76" t="str">
        <f t="shared" si="27"/>
        <v/>
      </c>
      <c r="BS26" s="76" t="str">
        <f t="shared" si="27"/>
        <v/>
      </c>
      <c r="BT26" s="76" t="str">
        <f t="shared" si="27"/>
        <v/>
      </c>
      <c r="BU26" s="76" t="str">
        <f t="shared" si="27"/>
        <v/>
      </c>
      <c r="BV26" s="76" t="str">
        <f t="shared" si="27"/>
        <v/>
      </c>
      <c r="BW26" s="33" t="str">
        <f t="shared" si="23"/>
        <v/>
      </c>
      <c r="BX26" s="33" t="str">
        <f t="shared" si="24"/>
        <v/>
      </c>
    </row>
    <row r="27" spans="1:76" x14ac:dyDescent="0.25">
      <c r="B27" s="41"/>
      <c r="C27" s="41"/>
      <c r="D27" s="41"/>
      <c r="E27" s="41"/>
      <c r="F27" s="41"/>
      <c r="G27" s="41"/>
      <c r="H27" s="41"/>
      <c r="I27" s="107" t="str">
        <f ca="1">+I15</f>
        <v/>
      </c>
      <c r="J27" s="107" t="str">
        <f ca="1">+J15</f>
        <v/>
      </c>
      <c r="K27" s="107" t="str">
        <f ca="1">+K15</f>
        <v/>
      </c>
      <c r="L27" s="107"/>
      <c r="M27" s="107"/>
      <c r="N27" s="107"/>
      <c r="O27" s="108" t="str">
        <f ca="1">+O15</f>
        <v/>
      </c>
      <c r="P27" s="108" t="str">
        <f ca="1">+P15</f>
        <v/>
      </c>
      <c r="Q27" s="108" t="str">
        <f ca="1">+Q15</f>
        <v/>
      </c>
      <c r="R27" s="108" t="str">
        <f ca="1">+R15</f>
        <v/>
      </c>
      <c r="S27" s="108"/>
      <c r="T27" s="108" t="str">
        <f t="shared" ref="T27:AG27" ca="1" si="28">+T15</f>
        <v/>
      </c>
      <c r="U27" s="108" t="str">
        <f t="shared" ca="1" si="28"/>
        <v/>
      </c>
      <c r="V27" s="108" t="str">
        <f t="shared" ca="1" si="28"/>
        <v/>
      </c>
      <c r="W27" s="108" t="str">
        <f t="shared" ca="1" si="28"/>
        <v/>
      </c>
      <c r="X27" s="108" t="str">
        <f t="shared" ca="1" si="28"/>
        <v/>
      </c>
      <c r="Y27" s="108" t="str">
        <f t="shared" ca="1" si="28"/>
        <v/>
      </c>
      <c r="Z27" s="108" t="str">
        <f t="shared" ca="1" si="28"/>
        <v/>
      </c>
      <c r="AA27" s="108" t="str">
        <f t="shared" ca="1" si="28"/>
        <v/>
      </c>
      <c r="AB27" s="108" t="str">
        <f t="shared" ca="1" si="28"/>
        <v/>
      </c>
      <c r="AC27" s="108" t="str">
        <f t="shared" ca="1" si="28"/>
        <v/>
      </c>
      <c r="AD27" s="108" t="str">
        <f t="shared" ca="1" si="28"/>
        <v/>
      </c>
      <c r="AE27" s="108" t="str">
        <f t="shared" ca="1" si="28"/>
        <v/>
      </c>
      <c r="AF27" s="108" t="str">
        <f t="shared" ca="1" si="28"/>
        <v/>
      </c>
      <c r="AG27" s="108" t="str">
        <f t="shared" ca="1" si="28"/>
        <v/>
      </c>
      <c r="AH27" s="107"/>
      <c r="AI27" s="41"/>
      <c r="AJ27" s="41"/>
      <c r="AK27" s="41"/>
      <c r="AM27" s="68"/>
      <c r="AN27" s="68"/>
      <c r="AO27" s="68"/>
      <c r="AP27" s="68"/>
      <c r="AQ27" s="3">
        <f t="shared" si="14"/>
        <v>0</v>
      </c>
      <c r="AR27" s="19" t="s">
        <v>187</v>
      </c>
      <c r="AS27" s="9">
        <v>13</v>
      </c>
      <c r="AT27" s="17" t="str">
        <f t="shared" si="7"/>
        <v/>
      </c>
      <c r="AU27" s="87" t="s">
        <v>109</v>
      </c>
      <c r="AV27" s="20">
        <v>3</v>
      </c>
      <c r="AW27" s="75" t="str">
        <f t="shared" ref="AW27:BH27" si="29">IF(G60="","",G60)</f>
        <v/>
      </c>
      <c r="AX27" s="76" t="str">
        <f t="shared" si="29"/>
        <v/>
      </c>
      <c r="AY27" s="76" t="str">
        <f t="shared" si="29"/>
        <v/>
      </c>
      <c r="AZ27" s="76" t="str">
        <f t="shared" si="29"/>
        <v/>
      </c>
      <c r="BA27" s="76" t="str">
        <f t="shared" si="29"/>
        <v/>
      </c>
      <c r="BB27" s="76" t="str">
        <f t="shared" si="29"/>
        <v/>
      </c>
      <c r="BC27" s="76" t="str">
        <f t="shared" si="29"/>
        <v/>
      </c>
      <c r="BD27" s="76" t="str">
        <f t="shared" si="29"/>
        <v/>
      </c>
      <c r="BE27" s="76" t="str">
        <f t="shared" si="29"/>
        <v/>
      </c>
      <c r="BF27" s="76" t="str">
        <f t="shared" si="29"/>
        <v/>
      </c>
      <c r="BG27" s="76" t="str">
        <f t="shared" si="29"/>
        <v/>
      </c>
      <c r="BH27" s="76" t="str">
        <f t="shared" si="29"/>
        <v/>
      </c>
      <c r="BI27" s="76" t="str">
        <f t="shared" ref="BI27:BV27" si="30">IF(T60="","",T60)</f>
        <v/>
      </c>
      <c r="BJ27" s="76" t="str">
        <f t="shared" si="30"/>
        <v/>
      </c>
      <c r="BK27" s="76" t="str">
        <f t="shared" si="30"/>
        <v/>
      </c>
      <c r="BL27" s="76" t="str">
        <f t="shared" si="30"/>
        <v/>
      </c>
      <c r="BM27" s="76" t="str">
        <f t="shared" si="30"/>
        <v/>
      </c>
      <c r="BN27" s="76" t="str">
        <f t="shared" si="30"/>
        <v/>
      </c>
      <c r="BO27" s="76" t="str">
        <f t="shared" si="30"/>
        <v/>
      </c>
      <c r="BP27" s="76" t="str">
        <f t="shared" si="30"/>
        <v/>
      </c>
      <c r="BQ27" s="76" t="str">
        <f t="shared" si="30"/>
        <v/>
      </c>
      <c r="BR27" s="76" t="str">
        <f t="shared" si="30"/>
        <v/>
      </c>
      <c r="BS27" s="76" t="str">
        <f t="shared" si="30"/>
        <v/>
      </c>
      <c r="BT27" s="76" t="str">
        <f t="shared" si="30"/>
        <v/>
      </c>
      <c r="BU27" s="76" t="str">
        <f t="shared" si="30"/>
        <v/>
      </c>
      <c r="BV27" s="76" t="str">
        <f t="shared" si="30"/>
        <v/>
      </c>
      <c r="BW27" s="33" t="str">
        <f t="shared" si="23"/>
        <v/>
      </c>
      <c r="BX27" s="33" t="str">
        <f t="shared" si="24"/>
        <v/>
      </c>
    </row>
    <row r="28" spans="1:76" x14ac:dyDescent="0.25">
      <c r="H28" s="4"/>
      <c r="I28" s="109"/>
      <c r="AQ28" s="3">
        <f t="shared" si="14"/>
        <v>0</v>
      </c>
      <c r="AR28" s="19" t="s">
        <v>125</v>
      </c>
      <c r="AS28" s="9">
        <v>14</v>
      </c>
      <c r="AT28" s="17" t="str">
        <f t="shared" si="7"/>
        <v/>
      </c>
      <c r="AU28" s="87" t="s">
        <v>109</v>
      </c>
      <c r="AV28" s="20">
        <v>4</v>
      </c>
      <c r="AW28" s="75" t="str">
        <f t="shared" ref="AW28:BH28" si="31">IF(G61="","",G61)</f>
        <v/>
      </c>
      <c r="AX28" s="76" t="str">
        <f t="shared" si="31"/>
        <v/>
      </c>
      <c r="AY28" s="76" t="str">
        <f t="shared" si="31"/>
        <v/>
      </c>
      <c r="AZ28" s="76" t="str">
        <f t="shared" si="31"/>
        <v/>
      </c>
      <c r="BA28" s="76" t="str">
        <f t="shared" si="31"/>
        <v/>
      </c>
      <c r="BB28" s="76" t="str">
        <f t="shared" si="31"/>
        <v/>
      </c>
      <c r="BC28" s="76" t="str">
        <f t="shared" si="31"/>
        <v/>
      </c>
      <c r="BD28" s="76" t="str">
        <f t="shared" si="31"/>
        <v/>
      </c>
      <c r="BE28" s="76" t="str">
        <f t="shared" si="31"/>
        <v/>
      </c>
      <c r="BF28" s="76" t="str">
        <f t="shared" si="31"/>
        <v/>
      </c>
      <c r="BG28" s="76" t="str">
        <f t="shared" si="31"/>
        <v/>
      </c>
      <c r="BH28" s="76" t="str">
        <f t="shared" si="31"/>
        <v/>
      </c>
      <c r="BI28" s="76" t="str">
        <f t="shared" ref="BI28:BV28" si="32">IF(T61="","",T61)</f>
        <v/>
      </c>
      <c r="BJ28" s="76" t="str">
        <f t="shared" si="32"/>
        <v/>
      </c>
      <c r="BK28" s="76" t="str">
        <f t="shared" si="32"/>
        <v/>
      </c>
      <c r="BL28" s="76" t="str">
        <f t="shared" si="32"/>
        <v/>
      </c>
      <c r="BM28" s="76" t="str">
        <f t="shared" si="32"/>
        <v/>
      </c>
      <c r="BN28" s="76" t="str">
        <f t="shared" si="32"/>
        <v/>
      </c>
      <c r="BO28" s="76" t="str">
        <f t="shared" si="32"/>
        <v/>
      </c>
      <c r="BP28" s="76" t="str">
        <f t="shared" si="32"/>
        <v/>
      </c>
      <c r="BQ28" s="76" t="str">
        <f t="shared" si="32"/>
        <v/>
      </c>
      <c r="BR28" s="76" t="str">
        <f t="shared" si="32"/>
        <v/>
      </c>
      <c r="BS28" s="76" t="str">
        <f t="shared" si="32"/>
        <v/>
      </c>
      <c r="BT28" s="76" t="str">
        <f t="shared" si="32"/>
        <v/>
      </c>
      <c r="BU28" s="76" t="str">
        <f t="shared" si="32"/>
        <v/>
      </c>
      <c r="BV28" s="76" t="str">
        <f t="shared" si="32"/>
        <v/>
      </c>
      <c r="BW28" s="33" t="str">
        <f t="shared" si="23"/>
        <v/>
      </c>
      <c r="BX28" s="33" t="str">
        <f t="shared" si="24"/>
        <v/>
      </c>
    </row>
    <row r="29" spans="1:76" x14ac:dyDescent="0.25">
      <c r="H29" s="4"/>
      <c r="I29" s="109"/>
      <c r="AQ29" s="3">
        <f t="shared" si="14"/>
        <v>0</v>
      </c>
      <c r="AR29" s="19" t="s">
        <v>126</v>
      </c>
      <c r="AS29" s="9">
        <v>15</v>
      </c>
      <c r="AT29" s="17" t="str">
        <f t="shared" si="7"/>
        <v/>
      </c>
      <c r="AU29" s="87" t="s">
        <v>109</v>
      </c>
      <c r="AV29" s="20">
        <v>5</v>
      </c>
      <c r="AW29" s="75" t="str">
        <f t="shared" ref="AW29:BH29" si="33">IF(G62="","",G62)</f>
        <v/>
      </c>
      <c r="AX29" s="76" t="str">
        <f t="shared" si="33"/>
        <v/>
      </c>
      <c r="AY29" s="76" t="str">
        <f t="shared" si="33"/>
        <v/>
      </c>
      <c r="AZ29" s="76" t="str">
        <f t="shared" si="33"/>
        <v/>
      </c>
      <c r="BA29" s="76" t="str">
        <f t="shared" si="33"/>
        <v/>
      </c>
      <c r="BB29" s="76" t="str">
        <f t="shared" si="33"/>
        <v/>
      </c>
      <c r="BC29" s="76" t="str">
        <f t="shared" si="33"/>
        <v/>
      </c>
      <c r="BD29" s="76" t="str">
        <f t="shared" si="33"/>
        <v/>
      </c>
      <c r="BE29" s="76" t="str">
        <f t="shared" si="33"/>
        <v/>
      </c>
      <c r="BF29" s="76" t="str">
        <f t="shared" si="33"/>
        <v/>
      </c>
      <c r="BG29" s="76" t="str">
        <f t="shared" si="33"/>
        <v/>
      </c>
      <c r="BH29" s="76" t="str">
        <f t="shared" si="33"/>
        <v/>
      </c>
      <c r="BI29" s="76" t="str">
        <f t="shared" ref="BI29:BV29" si="34">IF(T62="","",T62)</f>
        <v/>
      </c>
      <c r="BJ29" s="76" t="str">
        <f t="shared" si="34"/>
        <v/>
      </c>
      <c r="BK29" s="76" t="str">
        <f t="shared" si="34"/>
        <v/>
      </c>
      <c r="BL29" s="76" t="str">
        <f t="shared" si="34"/>
        <v/>
      </c>
      <c r="BM29" s="76" t="str">
        <f t="shared" si="34"/>
        <v/>
      </c>
      <c r="BN29" s="76" t="str">
        <f t="shared" si="34"/>
        <v/>
      </c>
      <c r="BO29" s="76" t="str">
        <f t="shared" si="34"/>
        <v/>
      </c>
      <c r="BP29" s="76" t="str">
        <f t="shared" si="34"/>
        <v/>
      </c>
      <c r="BQ29" s="76" t="str">
        <f t="shared" si="34"/>
        <v/>
      </c>
      <c r="BR29" s="76" t="str">
        <f t="shared" si="34"/>
        <v/>
      </c>
      <c r="BS29" s="76" t="str">
        <f t="shared" si="34"/>
        <v/>
      </c>
      <c r="BT29" s="76" t="str">
        <f t="shared" si="34"/>
        <v/>
      </c>
      <c r="BU29" s="76" t="str">
        <f t="shared" si="34"/>
        <v/>
      </c>
      <c r="BV29" s="76" t="str">
        <f t="shared" si="34"/>
        <v/>
      </c>
      <c r="BW29" s="33" t="str">
        <f t="shared" si="23"/>
        <v/>
      </c>
      <c r="BX29" s="33" t="str">
        <f t="shared" si="24"/>
        <v/>
      </c>
    </row>
    <row r="30" spans="1:76" x14ac:dyDescent="0.25">
      <c r="H30" s="4"/>
      <c r="I30" s="109"/>
      <c r="AQ30" s="3">
        <f t="shared" si="14"/>
        <v>0</v>
      </c>
      <c r="AR30" s="19" t="s">
        <v>127</v>
      </c>
      <c r="AS30" s="9">
        <v>16</v>
      </c>
      <c r="AT30" s="17" t="str">
        <f t="shared" si="7"/>
        <v/>
      </c>
      <c r="AU30" s="87" t="s">
        <v>109</v>
      </c>
      <c r="AV30" s="20">
        <v>6</v>
      </c>
      <c r="AW30" s="75" t="str">
        <f t="shared" ref="AW30:BH30" si="35">IF(G63="","",G63)</f>
        <v/>
      </c>
      <c r="AX30" s="76" t="str">
        <f t="shared" si="35"/>
        <v/>
      </c>
      <c r="AY30" s="76" t="str">
        <f t="shared" si="35"/>
        <v/>
      </c>
      <c r="AZ30" s="76" t="str">
        <f t="shared" si="35"/>
        <v/>
      </c>
      <c r="BA30" s="76" t="str">
        <f t="shared" si="35"/>
        <v/>
      </c>
      <c r="BB30" s="76" t="str">
        <f t="shared" si="35"/>
        <v/>
      </c>
      <c r="BC30" s="76" t="str">
        <f t="shared" si="35"/>
        <v/>
      </c>
      <c r="BD30" s="76" t="str">
        <f t="shared" si="35"/>
        <v/>
      </c>
      <c r="BE30" s="76" t="str">
        <f t="shared" si="35"/>
        <v/>
      </c>
      <c r="BF30" s="76" t="str">
        <f t="shared" si="35"/>
        <v/>
      </c>
      <c r="BG30" s="76" t="str">
        <f t="shared" si="35"/>
        <v/>
      </c>
      <c r="BH30" s="76" t="str">
        <f t="shared" si="35"/>
        <v/>
      </c>
      <c r="BI30" s="76" t="str">
        <f t="shared" ref="BI30:BV30" si="36">IF(T63="","",T63)</f>
        <v/>
      </c>
      <c r="BJ30" s="76" t="str">
        <f t="shared" si="36"/>
        <v/>
      </c>
      <c r="BK30" s="76" t="str">
        <f t="shared" si="36"/>
        <v/>
      </c>
      <c r="BL30" s="76" t="str">
        <f t="shared" si="36"/>
        <v/>
      </c>
      <c r="BM30" s="76" t="str">
        <f t="shared" si="36"/>
        <v/>
      </c>
      <c r="BN30" s="76" t="str">
        <f t="shared" si="36"/>
        <v/>
      </c>
      <c r="BO30" s="76" t="str">
        <f t="shared" si="36"/>
        <v/>
      </c>
      <c r="BP30" s="76" t="str">
        <f t="shared" si="36"/>
        <v/>
      </c>
      <c r="BQ30" s="76" t="str">
        <f t="shared" si="36"/>
        <v/>
      </c>
      <c r="BR30" s="76" t="str">
        <f t="shared" si="36"/>
        <v/>
      </c>
      <c r="BS30" s="76" t="str">
        <f t="shared" si="36"/>
        <v/>
      </c>
      <c r="BT30" s="76" t="str">
        <f t="shared" si="36"/>
        <v/>
      </c>
      <c r="BU30" s="76" t="str">
        <f t="shared" si="36"/>
        <v/>
      </c>
      <c r="BV30" s="76" t="str">
        <f t="shared" si="36"/>
        <v/>
      </c>
      <c r="BW30" s="33" t="str">
        <f t="shared" si="23"/>
        <v/>
      </c>
      <c r="BX30" s="33" t="str">
        <f t="shared" si="24"/>
        <v/>
      </c>
    </row>
    <row r="31" spans="1:76" x14ac:dyDescent="0.25">
      <c r="A31" s="183">
        <v>41759</v>
      </c>
      <c r="H31" s="4"/>
      <c r="I31" s="109"/>
      <c r="AQ31" s="3">
        <f t="shared" si="14"/>
        <v>0</v>
      </c>
      <c r="AR31" s="19" t="s">
        <v>128</v>
      </c>
      <c r="AS31" s="9">
        <v>17</v>
      </c>
      <c r="AT31" s="17" t="str">
        <f t="shared" si="7"/>
        <v/>
      </c>
      <c r="AU31" s="87" t="s">
        <v>109</v>
      </c>
      <c r="AV31" s="20">
        <v>7</v>
      </c>
      <c r="AW31" s="75" t="str">
        <f t="shared" ref="AW31:BH31" si="37">IF(G64="","",G64)</f>
        <v/>
      </c>
      <c r="AX31" s="76" t="str">
        <f t="shared" si="37"/>
        <v/>
      </c>
      <c r="AY31" s="76" t="str">
        <f t="shared" si="37"/>
        <v/>
      </c>
      <c r="AZ31" s="76" t="str">
        <f t="shared" si="37"/>
        <v/>
      </c>
      <c r="BA31" s="76" t="str">
        <f t="shared" si="37"/>
        <v/>
      </c>
      <c r="BB31" s="76" t="str">
        <f t="shared" si="37"/>
        <v/>
      </c>
      <c r="BC31" s="76" t="str">
        <f t="shared" si="37"/>
        <v/>
      </c>
      <c r="BD31" s="76" t="str">
        <f t="shared" si="37"/>
        <v/>
      </c>
      <c r="BE31" s="76" t="str">
        <f t="shared" si="37"/>
        <v/>
      </c>
      <c r="BF31" s="76" t="str">
        <f t="shared" si="37"/>
        <v/>
      </c>
      <c r="BG31" s="76" t="str">
        <f t="shared" si="37"/>
        <v/>
      </c>
      <c r="BH31" s="76" t="str">
        <f t="shared" si="37"/>
        <v/>
      </c>
      <c r="BI31" s="76" t="str">
        <f t="shared" ref="BI31:BV31" si="38">IF(T64="","",T64)</f>
        <v/>
      </c>
      <c r="BJ31" s="76" t="str">
        <f t="shared" si="38"/>
        <v/>
      </c>
      <c r="BK31" s="76" t="str">
        <f t="shared" si="38"/>
        <v/>
      </c>
      <c r="BL31" s="76" t="str">
        <f t="shared" si="38"/>
        <v/>
      </c>
      <c r="BM31" s="76" t="str">
        <f t="shared" si="38"/>
        <v/>
      </c>
      <c r="BN31" s="76" t="str">
        <f t="shared" si="38"/>
        <v/>
      </c>
      <c r="BO31" s="76" t="str">
        <f t="shared" si="38"/>
        <v/>
      </c>
      <c r="BP31" s="76" t="str">
        <f t="shared" si="38"/>
        <v/>
      </c>
      <c r="BQ31" s="76" t="str">
        <f t="shared" si="38"/>
        <v/>
      </c>
      <c r="BR31" s="76" t="str">
        <f t="shared" si="38"/>
        <v/>
      </c>
      <c r="BS31" s="76" t="str">
        <f t="shared" si="38"/>
        <v/>
      </c>
      <c r="BT31" s="76" t="str">
        <f t="shared" si="38"/>
        <v/>
      </c>
      <c r="BU31" s="76" t="str">
        <f t="shared" si="38"/>
        <v/>
      </c>
      <c r="BV31" s="76" t="str">
        <f t="shared" si="38"/>
        <v/>
      </c>
      <c r="BW31" s="33" t="str">
        <f t="shared" si="23"/>
        <v/>
      </c>
      <c r="BX31" s="33" t="str">
        <f t="shared" si="24"/>
        <v/>
      </c>
    </row>
    <row r="32" spans="1:76" ht="51.75" x14ac:dyDescent="0.25">
      <c r="A32" s="41" t="s">
        <v>252</v>
      </c>
      <c r="G32" s="294" t="s">
        <v>44</v>
      </c>
      <c r="H32" s="1" t="s">
        <v>0</v>
      </c>
      <c r="I32" s="111" t="s">
        <v>171</v>
      </c>
      <c r="J32" s="111" t="s">
        <v>50</v>
      </c>
      <c r="K32" s="111"/>
      <c r="L32" s="111" t="s">
        <v>1</v>
      </c>
      <c r="M32" s="111" t="s">
        <v>172</v>
      </c>
      <c r="N32" s="111"/>
      <c r="O32" s="112" t="s">
        <v>51</v>
      </c>
      <c r="P32" s="113" t="s">
        <v>52</v>
      </c>
      <c r="Q32" s="113" t="s">
        <v>53</v>
      </c>
      <c r="R32" s="113" t="s">
        <v>173</v>
      </c>
      <c r="S32" s="114" t="s">
        <v>166</v>
      </c>
      <c r="T32" s="113" t="s">
        <v>54</v>
      </c>
      <c r="U32" s="115" t="s">
        <v>55</v>
      </c>
      <c r="V32" s="115" t="s">
        <v>56</v>
      </c>
      <c r="W32" s="113" t="s">
        <v>57</v>
      </c>
      <c r="X32" s="113" t="s">
        <v>58</v>
      </c>
      <c r="Y32" s="113" t="s">
        <v>59</v>
      </c>
      <c r="Z32" s="115" t="s">
        <v>60</v>
      </c>
      <c r="AA32" s="115" t="s">
        <v>61</v>
      </c>
      <c r="AB32" s="116" t="s">
        <v>62</v>
      </c>
      <c r="AC32" s="117" t="s">
        <v>63</v>
      </c>
      <c r="AD32" s="113" t="s">
        <v>64</v>
      </c>
      <c r="AE32" s="113" t="s">
        <v>65</v>
      </c>
      <c r="AF32" s="113" t="s">
        <v>66</v>
      </c>
      <c r="AG32" s="113" t="s">
        <v>174</v>
      </c>
      <c r="AH32" s="114" t="s">
        <v>166</v>
      </c>
      <c r="AI32" s="2" t="s">
        <v>67</v>
      </c>
      <c r="AJ32" s="30" t="s">
        <v>154</v>
      </c>
      <c r="AK32" s="30" t="s">
        <v>205</v>
      </c>
      <c r="AL32" s="70"/>
      <c r="AM32" s="21"/>
      <c r="AN32" s="21"/>
      <c r="AQ32" s="3">
        <f t="shared" si="14"/>
        <v>0</v>
      </c>
      <c r="AR32" s="19" t="s">
        <v>129</v>
      </c>
      <c r="AS32" s="9">
        <v>18</v>
      </c>
      <c r="AT32" s="17" t="str">
        <f t="shared" si="7"/>
        <v/>
      </c>
      <c r="AU32" s="87" t="s">
        <v>109</v>
      </c>
      <c r="AV32" s="20">
        <v>8</v>
      </c>
      <c r="AW32" s="75" t="str">
        <f t="shared" ref="AW32:BH32" si="39">IF(G65="","",G65)</f>
        <v/>
      </c>
      <c r="AX32" s="76" t="str">
        <f t="shared" si="39"/>
        <v/>
      </c>
      <c r="AY32" s="76" t="str">
        <f t="shared" si="39"/>
        <v/>
      </c>
      <c r="AZ32" s="76" t="str">
        <f t="shared" si="39"/>
        <v/>
      </c>
      <c r="BA32" s="76" t="str">
        <f t="shared" si="39"/>
        <v/>
      </c>
      <c r="BB32" s="76" t="str">
        <f t="shared" si="39"/>
        <v/>
      </c>
      <c r="BC32" s="76" t="str">
        <f t="shared" si="39"/>
        <v/>
      </c>
      <c r="BD32" s="76" t="str">
        <f t="shared" si="39"/>
        <v/>
      </c>
      <c r="BE32" s="76" t="str">
        <f t="shared" si="39"/>
        <v/>
      </c>
      <c r="BF32" s="76" t="str">
        <f t="shared" si="39"/>
        <v/>
      </c>
      <c r="BG32" s="76" t="str">
        <f t="shared" si="39"/>
        <v/>
      </c>
      <c r="BH32" s="76" t="str">
        <f t="shared" si="39"/>
        <v/>
      </c>
      <c r="BI32" s="76" t="str">
        <f t="shared" ref="BI32:BV32" si="40">IF(T65="","",T65)</f>
        <v/>
      </c>
      <c r="BJ32" s="76" t="str">
        <f t="shared" si="40"/>
        <v/>
      </c>
      <c r="BK32" s="76" t="str">
        <f t="shared" si="40"/>
        <v/>
      </c>
      <c r="BL32" s="76" t="str">
        <f t="shared" si="40"/>
        <v/>
      </c>
      <c r="BM32" s="76" t="str">
        <f t="shared" si="40"/>
        <v/>
      </c>
      <c r="BN32" s="76" t="str">
        <f t="shared" si="40"/>
        <v/>
      </c>
      <c r="BO32" s="76" t="str">
        <f t="shared" si="40"/>
        <v/>
      </c>
      <c r="BP32" s="76" t="str">
        <f t="shared" si="40"/>
        <v/>
      </c>
      <c r="BQ32" s="76" t="str">
        <f t="shared" si="40"/>
        <v/>
      </c>
      <c r="BR32" s="76" t="str">
        <f t="shared" si="40"/>
        <v/>
      </c>
      <c r="BS32" s="76" t="str">
        <f t="shared" si="40"/>
        <v/>
      </c>
      <c r="BT32" s="76" t="str">
        <f t="shared" si="40"/>
        <v/>
      </c>
      <c r="BU32" s="76" t="str">
        <f t="shared" si="40"/>
        <v/>
      </c>
      <c r="BV32" s="76" t="str">
        <f t="shared" si="40"/>
        <v/>
      </c>
      <c r="BW32" s="33" t="str">
        <f t="shared" si="23"/>
        <v/>
      </c>
      <c r="BX32" s="33" t="str">
        <f t="shared" si="24"/>
        <v/>
      </c>
    </row>
    <row r="33" spans="6:76" ht="11.25" customHeight="1" x14ac:dyDescent="0.25">
      <c r="G33" s="294"/>
      <c r="H33" s="284" t="str">
        <f>H$9</f>
        <v>CYCLE</v>
      </c>
      <c r="I33" s="286" t="str">
        <f t="shared" ref="I33:N33" si="41">I$10</f>
        <v>MATTE PRODUCED</v>
      </c>
      <c r="J33" s="286" t="str">
        <f t="shared" si="41"/>
        <v>MATTE TREATED</v>
      </c>
      <c r="K33" s="286" t="str">
        <f t="shared" si="41"/>
        <v>MATTE SKULL PRODUCTION</v>
      </c>
      <c r="L33" s="286" t="str">
        <f t="shared" si="41"/>
        <v>BLISTER PRODUCED</v>
      </c>
      <c r="M33" s="286" t="str">
        <f t="shared" si="41"/>
        <v>BLISTER TREATED</v>
      </c>
      <c r="N33" s="286" t="str">
        <f t="shared" si="41"/>
        <v>BLISTER SKULL PRODUCTION</v>
      </c>
      <c r="O33" s="293" t="s">
        <v>6</v>
      </c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Q33" s="3">
        <f t="shared" si="14"/>
        <v>0</v>
      </c>
      <c r="AR33" s="19" t="s">
        <v>130</v>
      </c>
      <c r="AS33" s="9">
        <v>19</v>
      </c>
      <c r="AT33" s="17" t="str">
        <f t="shared" si="7"/>
        <v/>
      </c>
      <c r="AU33" s="87" t="s">
        <v>109</v>
      </c>
      <c r="AV33" s="20">
        <v>9</v>
      </c>
      <c r="AW33" s="75" t="str">
        <f t="shared" ref="AW33:BH33" si="42">IF(G66="","",G66)</f>
        <v/>
      </c>
      <c r="AX33" s="76" t="str">
        <f t="shared" si="42"/>
        <v/>
      </c>
      <c r="AY33" s="76" t="str">
        <f t="shared" si="42"/>
        <v/>
      </c>
      <c r="AZ33" s="76" t="str">
        <f t="shared" si="42"/>
        <v/>
      </c>
      <c r="BA33" s="76" t="str">
        <f t="shared" si="42"/>
        <v/>
      </c>
      <c r="BB33" s="76" t="str">
        <f t="shared" si="42"/>
        <v/>
      </c>
      <c r="BC33" s="76" t="str">
        <f t="shared" si="42"/>
        <v/>
      </c>
      <c r="BD33" s="76" t="str">
        <f t="shared" si="42"/>
        <v/>
      </c>
      <c r="BE33" s="76" t="str">
        <f t="shared" si="42"/>
        <v/>
      </c>
      <c r="BF33" s="76" t="str">
        <f t="shared" si="42"/>
        <v/>
      </c>
      <c r="BG33" s="76" t="str">
        <f t="shared" si="42"/>
        <v/>
      </c>
      <c r="BH33" s="76" t="str">
        <f t="shared" si="42"/>
        <v/>
      </c>
      <c r="BI33" s="76" t="str">
        <f t="shared" ref="BI33:BV33" si="43">IF(T66="","",T66)</f>
        <v/>
      </c>
      <c r="BJ33" s="76" t="str">
        <f t="shared" si="43"/>
        <v/>
      </c>
      <c r="BK33" s="76" t="str">
        <f t="shared" si="43"/>
        <v/>
      </c>
      <c r="BL33" s="76" t="str">
        <f t="shared" si="43"/>
        <v/>
      </c>
      <c r="BM33" s="76" t="str">
        <f t="shared" si="43"/>
        <v/>
      </c>
      <c r="BN33" s="76" t="str">
        <f t="shared" si="43"/>
        <v/>
      </c>
      <c r="BO33" s="76" t="str">
        <f t="shared" si="43"/>
        <v/>
      </c>
      <c r="BP33" s="76" t="str">
        <f t="shared" si="43"/>
        <v/>
      </c>
      <c r="BQ33" s="76" t="str">
        <f t="shared" si="43"/>
        <v/>
      </c>
      <c r="BR33" s="76" t="str">
        <f t="shared" si="43"/>
        <v/>
      </c>
      <c r="BS33" s="76" t="str">
        <f t="shared" si="43"/>
        <v/>
      </c>
      <c r="BT33" s="76" t="str">
        <f t="shared" si="43"/>
        <v/>
      </c>
      <c r="BU33" s="76" t="str">
        <f t="shared" si="43"/>
        <v/>
      </c>
      <c r="BV33" s="76" t="str">
        <f t="shared" si="43"/>
        <v/>
      </c>
      <c r="BW33" s="33" t="str">
        <f t="shared" si="23"/>
        <v/>
      </c>
      <c r="BX33" s="33" t="str">
        <f t="shared" si="24"/>
        <v/>
      </c>
    </row>
    <row r="34" spans="6:76" ht="16.5" customHeight="1" x14ac:dyDescent="0.25">
      <c r="G34" s="294"/>
      <c r="H34" s="285"/>
      <c r="I34" s="287"/>
      <c r="J34" s="287"/>
      <c r="K34" s="287"/>
      <c r="L34" s="287"/>
      <c r="M34" s="287"/>
      <c r="N34" s="287"/>
      <c r="O34" s="283" t="s">
        <v>24</v>
      </c>
      <c r="P34" s="283"/>
      <c r="Q34" s="283"/>
      <c r="R34" s="283"/>
      <c r="S34" s="118"/>
      <c r="T34" s="283" t="s">
        <v>25</v>
      </c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119"/>
      <c r="AI34" s="8"/>
      <c r="AJ34" s="8"/>
      <c r="AK34" s="8"/>
      <c r="AL34" s="71"/>
      <c r="AM34" s="22"/>
      <c r="AN34" s="22"/>
      <c r="AQ34" s="3">
        <f t="shared" si="14"/>
        <v>0</v>
      </c>
      <c r="AR34" s="19" t="s">
        <v>131</v>
      </c>
      <c r="AS34" s="9">
        <v>20</v>
      </c>
      <c r="AT34" s="17" t="str">
        <f t="shared" si="7"/>
        <v/>
      </c>
      <c r="AU34" s="87" t="s">
        <v>109</v>
      </c>
      <c r="AV34" s="20">
        <v>10</v>
      </c>
      <c r="AW34" s="77" t="str">
        <f t="shared" ref="AW34:BH34" si="44">IF(G67="","",G67)</f>
        <v/>
      </c>
      <c r="AX34" s="78" t="str">
        <f t="shared" si="44"/>
        <v/>
      </c>
      <c r="AY34" s="78" t="str">
        <f t="shared" si="44"/>
        <v/>
      </c>
      <c r="AZ34" s="78" t="str">
        <f t="shared" si="44"/>
        <v/>
      </c>
      <c r="BA34" s="78" t="str">
        <f t="shared" si="44"/>
        <v/>
      </c>
      <c r="BB34" s="78" t="str">
        <f t="shared" si="44"/>
        <v/>
      </c>
      <c r="BC34" s="78" t="str">
        <f t="shared" si="44"/>
        <v/>
      </c>
      <c r="BD34" s="78" t="str">
        <f t="shared" si="44"/>
        <v/>
      </c>
      <c r="BE34" s="78" t="str">
        <f t="shared" si="44"/>
        <v/>
      </c>
      <c r="BF34" s="78" t="str">
        <f t="shared" si="44"/>
        <v/>
      </c>
      <c r="BG34" s="78" t="str">
        <f t="shared" si="44"/>
        <v/>
      </c>
      <c r="BH34" s="78" t="str">
        <f t="shared" si="44"/>
        <v/>
      </c>
      <c r="BI34" s="78" t="str">
        <f t="shared" ref="BI34:BV34" si="45">IF(T67="","",T67)</f>
        <v/>
      </c>
      <c r="BJ34" s="78" t="str">
        <f t="shared" si="45"/>
        <v/>
      </c>
      <c r="BK34" s="78" t="str">
        <f t="shared" si="45"/>
        <v/>
      </c>
      <c r="BL34" s="78" t="str">
        <f t="shared" si="45"/>
        <v/>
      </c>
      <c r="BM34" s="78" t="str">
        <f t="shared" si="45"/>
        <v/>
      </c>
      <c r="BN34" s="78" t="str">
        <f t="shared" si="45"/>
        <v/>
      </c>
      <c r="BO34" s="78" t="str">
        <f t="shared" si="45"/>
        <v/>
      </c>
      <c r="BP34" s="78" t="str">
        <f t="shared" si="45"/>
        <v/>
      </c>
      <c r="BQ34" s="78" t="str">
        <f t="shared" si="45"/>
        <v/>
      </c>
      <c r="BR34" s="78" t="str">
        <f t="shared" si="45"/>
        <v/>
      </c>
      <c r="BS34" s="78" t="str">
        <f t="shared" si="45"/>
        <v/>
      </c>
      <c r="BT34" s="78" t="str">
        <f t="shared" si="45"/>
        <v/>
      </c>
      <c r="BU34" s="78" t="str">
        <f t="shared" si="45"/>
        <v/>
      </c>
      <c r="BV34" s="78" t="str">
        <f t="shared" si="45"/>
        <v/>
      </c>
      <c r="BW34" s="34" t="str">
        <f t="shared" si="23"/>
        <v/>
      </c>
      <c r="BX34" s="34" t="str">
        <f t="shared" si="24"/>
        <v/>
      </c>
    </row>
    <row r="35" spans="6:76" ht="21.75" customHeight="1" x14ac:dyDescent="0.25">
      <c r="H35" s="295"/>
      <c r="I35" s="296"/>
      <c r="J35" s="296"/>
      <c r="K35" s="296"/>
      <c r="L35" s="296"/>
      <c r="M35" s="296"/>
      <c r="N35" s="296"/>
      <c r="O35" s="120" t="s">
        <v>7</v>
      </c>
      <c r="P35" s="120" t="s">
        <v>8</v>
      </c>
      <c r="Q35" s="120" t="s">
        <v>10</v>
      </c>
      <c r="R35" s="120" t="s">
        <v>9</v>
      </c>
      <c r="S35" s="121"/>
      <c r="T35" s="120" t="s">
        <v>11</v>
      </c>
      <c r="U35" s="120" t="s">
        <v>12</v>
      </c>
      <c r="V35" s="120" t="s">
        <v>13</v>
      </c>
      <c r="W35" s="120" t="s">
        <v>14</v>
      </c>
      <c r="X35" s="120" t="s">
        <v>15</v>
      </c>
      <c r="Y35" s="120" t="s">
        <v>16</v>
      </c>
      <c r="Z35" s="120" t="s">
        <v>17</v>
      </c>
      <c r="AA35" s="120" t="s">
        <v>18</v>
      </c>
      <c r="AB35" s="120" t="s">
        <v>19</v>
      </c>
      <c r="AC35" s="120" t="s">
        <v>20</v>
      </c>
      <c r="AD35" s="120" t="s">
        <v>21</v>
      </c>
      <c r="AE35" s="120" t="s">
        <v>22</v>
      </c>
      <c r="AF35" s="120" t="s">
        <v>23</v>
      </c>
      <c r="AG35" s="120" t="s">
        <v>9</v>
      </c>
      <c r="AJ35" s="101" t="s">
        <v>155</v>
      </c>
      <c r="AK35" s="100" t="s">
        <v>209</v>
      </c>
      <c r="AO35" s="21"/>
      <c r="AQ35" s="3">
        <f t="shared" si="14"/>
        <v>0</v>
      </c>
      <c r="AR35" s="19" t="s">
        <v>132</v>
      </c>
      <c r="AS35" s="9">
        <v>21</v>
      </c>
      <c r="AT35" s="17" t="str">
        <f t="shared" si="7"/>
        <v/>
      </c>
      <c r="AU35" s="89" t="s">
        <v>110</v>
      </c>
      <c r="AV35" s="20">
        <v>1</v>
      </c>
      <c r="AW35" s="73" t="str">
        <f t="shared" ref="AW35:BH35" si="46">IF(G80="","",G80)</f>
        <v>Resize to show all values</v>
      </c>
      <c r="AX35" s="74" t="str">
        <f t="shared" si="46"/>
        <v>Resize to show all values</v>
      </c>
      <c r="AY35" s="74" t="str">
        <f t="shared" si="46"/>
        <v/>
      </c>
      <c r="AZ35" s="74" t="str">
        <f t="shared" si="46"/>
        <v/>
      </c>
      <c r="BA35" s="74" t="str">
        <f t="shared" si="46"/>
        <v/>
      </c>
      <c r="BB35" s="74" t="str">
        <f t="shared" si="46"/>
        <v/>
      </c>
      <c r="BC35" s="74" t="str">
        <f t="shared" si="46"/>
        <v/>
      </c>
      <c r="BD35" s="74" t="str">
        <f t="shared" si="46"/>
        <v/>
      </c>
      <c r="BE35" s="74" t="str">
        <f t="shared" si="46"/>
        <v/>
      </c>
      <c r="BF35" s="74" t="str">
        <f t="shared" si="46"/>
        <v/>
      </c>
      <c r="BG35" s="74" t="str">
        <f t="shared" si="46"/>
        <v/>
      </c>
      <c r="BH35" s="74" t="str">
        <f t="shared" si="46"/>
        <v/>
      </c>
      <c r="BI35" s="74" t="str">
        <f t="shared" ref="BI35:BV35" si="47">IF(T80="","",T80)</f>
        <v/>
      </c>
      <c r="BJ35" s="74" t="str">
        <f t="shared" si="47"/>
        <v/>
      </c>
      <c r="BK35" s="74" t="str">
        <f t="shared" si="47"/>
        <v/>
      </c>
      <c r="BL35" s="74" t="str">
        <f t="shared" si="47"/>
        <v/>
      </c>
      <c r="BM35" s="74" t="str">
        <f t="shared" si="47"/>
        <v/>
      </c>
      <c r="BN35" s="74" t="str">
        <f t="shared" si="47"/>
        <v/>
      </c>
      <c r="BO35" s="74" t="str">
        <f t="shared" si="47"/>
        <v/>
      </c>
      <c r="BP35" s="74" t="str">
        <f t="shared" si="47"/>
        <v/>
      </c>
      <c r="BQ35" s="74" t="str">
        <f t="shared" si="47"/>
        <v/>
      </c>
      <c r="BR35" s="74" t="str">
        <f t="shared" si="47"/>
        <v/>
      </c>
      <c r="BS35" s="74" t="str">
        <f t="shared" si="47"/>
        <v/>
      </c>
      <c r="BT35" s="74" t="str">
        <f t="shared" si="47"/>
        <v/>
      </c>
      <c r="BU35" s="74" t="str">
        <f t="shared" si="47"/>
        <v/>
      </c>
      <c r="BV35" s="74" t="str">
        <f t="shared" si="47"/>
        <v/>
      </c>
      <c r="BW35" s="32" t="str">
        <f t="shared" ref="BW35:BW44" si="48">AJ80</f>
        <v/>
      </c>
      <c r="BX35" s="32" t="str">
        <f t="shared" ref="BX35:BX44" si="49">AK80</f>
        <v/>
      </c>
    </row>
    <row r="36" spans="6:76" ht="20.25" x14ac:dyDescent="0.25">
      <c r="F36" s="3">
        <v>1</v>
      </c>
      <c r="G36" s="64" t="str">
        <f t="array" ref="G36:H36">_xll.PICompDat(Data!$H$32,Data!$G$4,Data!$G$5,9,"PI_SERVER","inside")</f>
        <v>No more values:</v>
      </c>
      <c r="H36" s="65" t="str">
        <v>No more values:</v>
      </c>
      <c r="I36" s="122" t="str">
        <f>IF(ISTEXT(_xll.PIArcVal(Data!I$32,Data!$G36,0,"PI_SERVER","exact time")),"",_xll.PIArcVal(Data!I$32,Data!$G36,0,"PI_SERVER","exact time"))</f>
        <v/>
      </c>
      <c r="J36" s="122" t="str">
        <f>IF(ISTEXT(_xll.PIArcVal(Data!J$32,Data!$G36,0,"PI_SERVER","exact time")),"",_xll.PIArcVal(Data!J$32,Data!$G36,0,"PI_SERVER","exact time"))</f>
        <v/>
      </c>
      <c r="K36" s="122" t="str">
        <f>IFERROR(I36-J36,"")</f>
        <v/>
      </c>
      <c r="L36" s="122" t="str">
        <f>IF(ISTEXT(_xll.PIArcVal(Data!L$32,Data!$G36,0,"PI_SERVER","exact time")),"",_xll.PIArcVal(Data!L$32,Data!$G36,0,"PI_SERVER","exact time"))</f>
        <v/>
      </c>
      <c r="M36" s="122" t="str">
        <f>IF(ISTEXT(_xll.PIArcVal(Data!M$32,Data!$G36,0,"PI_SERVER","exact time")),"",_xll.PIArcVal(Data!M$32,Data!$G36,0,"PI_SERVER","exact time"))</f>
        <v/>
      </c>
      <c r="N36" s="122" t="str">
        <f>IFERROR(L36-M36,"")</f>
        <v/>
      </c>
      <c r="O36" s="123" t="str">
        <f>IF(ISTEXT(_xll.PIArcVal(Data!O$32,Data!$G36,0,"PI_SERVER","exact time")),"",_xll.PIArcVal(Data!O$32,Data!$G36,0,"PI_SERVER","exact time"))</f>
        <v/>
      </c>
      <c r="P36" s="123" t="str">
        <f>IF(ISTEXT(_xll.PIArcVal(Data!P$32,Data!$G36,0,"PI_SERVER","exact time")),"",_xll.PIArcVal(Data!P$32,Data!$G36,0,"PI_SERVER","exact time"))</f>
        <v/>
      </c>
      <c r="Q36" s="123" t="str">
        <f>IF(ISTEXT(_xll.PIArcVal(Data!Q$32,Data!$G36,0,"PI_SERVER","exact time")),"",_xll.PIArcVal(Data!Q$32,Data!$G36,0,"PI_SERVER","exact time"))</f>
        <v/>
      </c>
      <c r="R36" s="123" t="str">
        <f>IF(ISTEXT(_xll.PIArcVal(Data!R$32,Data!$G36,0,"PI_SERVER","exact time")),"",_xll.PIArcVal(Data!R$32,Data!$G36,0,"PI_SERVER","exact time"))</f>
        <v/>
      </c>
      <c r="S36" s="123"/>
      <c r="T36" s="123" t="str">
        <f>IF(ISTEXT(_xll.PIArcVal(Data!T$32,Data!$G36,0,"PI_SERVER","exact time")),"",_xll.PIArcVal(Data!T$32,Data!$G36,0,"PI_SERVER","exact time"))</f>
        <v/>
      </c>
      <c r="U36" s="123" t="str">
        <f>IF(ISTEXT(_xll.PIArcVal(Data!U$32,Data!$G36,0,"PI_SERVER","exact time")),"",_xll.PIArcVal(Data!U$32,Data!$G36,0,"PI_SERVER","exact time"))</f>
        <v/>
      </c>
      <c r="V36" s="123" t="str">
        <f>IF(ISTEXT(_xll.PIArcVal(Data!V$32,Data!$G36,0,"PI_SERVER","exact time")),"",_xll.PIArcVal(Data!V$32,Data!$G36,0,"PI_SERVER","exact time"))</f>
        <v/>
      </c>
      <c r="W36" s="123" t="str">
        <f>IF(ISTEXT(_xll.PIArcVal(Data!W$32,Data!$G36,0,"PI_SERVER","exact time")),"",_xll.PIArcVal(Data!W$32,Data!$G36,0,"PI_SERVER","exact time"))</f>
        <v/>
      </c>
      <c r="X36" s="123" t="str">
        <f>IF(ISTEXT(_xll.PIArcVal(Data!X$32,Data!$G36,0,"PI_SERVER","exact time")),"",_xll.PIArcVal(Data!X$32,Data!$G36,0,"PI_SERVER","exact time"))</f>
        <v/>
      </c>
      <c r="Y36" s="123" t="str">
        <f>IF(ISTEXT(_xll.PIArcVal(Data!Y$32,Data!$G36,0,"PI_SERVER","exact time")),"",_xll.PIArcVal(Data!Y$32,Data!$G36,0,"PI_SERVER","exact time"))</f>
        <v/>
      </c>
      <c r="Z36" s="123" t="str">
        <f>IF(ISTEXT(_xll.PIArcVal(Data!Z$32,Data!$G36,0,"PI_SERVER","exact time")),"",_xll.PIArcVal(Data!Z$32,Data!$G36,0,"PI_SERVER","exact time"))</f>
        <v/>
      </c>
      <c r="AA36" s="123" t="str">
        <f>IF(ISTEXT(_xll.PIArcVal(Data!AA$32,Data!$G36,0,"PI_SERVER","exact time")),"",_xll.PIArcVal(Data!AA$32,Data!$G36,0,"PI_SERVER","exact time"))</f>
        <v/>
      </c>
      <c r="AB36" s="123" t="str">
        <f>IF(ISTEXT(_xll.PIArcVal(Data!AB$32,Data!$G36,0,"PI_SERVER","exact time")),"",_xll.PIArcVal(Data!AB$32,Data!$G36,0,"PI_SERVER","exact time"))</f>
        <v/>
      </c>
      <c r="AC36" s="123" t="str">
        <f>IF(ISTEXT(_xll.PIArcVal(Data!AC$32,Data!$G36,0,"PI_SERVER","exact time")),"",_xll.PIArcVal(Data!AC$32,Data!$G36,0,"PI_SERVER","exact time"))</f>
        <v/>
      </c>
      <c r="AD36" s="123" t="str">
        <f>IF(ISTEXT(_xll.PIArcVal(Data!AD$32,Data!$G36,0,"PI_SERVER","exact time")),"",_xll.PIArcVal(Data!AD$32,Data!$G36,0,"PI_SERVER","exact time"))</f>
        <v/>
      </c>
      <c r="AE36" s="123" t="str">
        <f>IF(ISTEXT(_xll.PIArcVal(Data!AE$32,Data!$G36,0,"PI_SERVER","exact time")),"",_xll.PIArcVal(Data!AE$32,Data!$G36,0,"PI_SERVER","exact time"))</f>
        <v/>
      </c>
      <c r="AF36" s="123" t="str">
        <f>IF(ISTEXT(_xll.PIArcVal(Data!AF$32,Data!$G36,0,"PI_SERVER","exact time")),"",_xll.PIArcVal(Data!AF$32,Data!$G36,0,"PI_SERVER","exact time"))</f>
        <v/>
      </c>
      <c r="AG36" s="123" t="str">
        <f>IF(ISTEXT(_xll.PIArcVal(Data!AG$32,Data!$G36,0,"PI_SERVER","exact time")),"",_xll.PIArcVal(Data!AG$32,Data!$G36,0,"PI_SERVER","exact time"))</f>
        <v/>
      </c>
      <c r="AH36" s="124" t="str">
        <f t="shared" ref="AH36:AH45" si="50">IF(AL36=1,SUM(T36:AF36),"")</f>
        <v/>
      </c>
      <c r="AI36" s="66" t="str">
        <f>IF(ISTEXT(_xll.PIArcVal(Data!AI$32,Data!$G36,0,"PI_SERVER","exact time")),"",_xll.PIArcVal(Data!AI$32,Data!$G36,0,"PI_SERVER","exact time"))</f>
        <v/>
      </c>
      <c r="AJ36" s="66" t="str">
        <f>IF(ISTEXT(_xll.PIArcVal(Data!AJ$32,Data!$G36,0,"PI_SERVER","exact time")),"",_xll.PIArcVal(Data!AJ$32,Data!$G36,0,"PI_SERVER","exact time"))</f>
        <v/>
      </c>
      <c r="AK36" s="66" t="str">
        <f>IF(ISTEXT(_xll.PIArcVal(Data!AK$32,Data!$G36,0,"PI_SERVER","exact time")),"",_xll.PIArcVal(Data!AK$32,Data!$G36,0,"PI_SERVER","exact time"))</f>
        <v/>
      </c>
      <c r="AL36" s="69">
        <f>IF(OR(G36=" ",G36="",ISTEXT(G36)), 0,1)</f>
        <v>0</v>
      </c>
      <c r="AM36" s="18"/>
      <c r="AN36" s="18"/>
      <c r="AQ36" s="3">
        <f t="shared" si="14"/>
        <v>0</v>
      </c>
      <c r="AR36" s="19" t="s">
        <v>133</v>
      </c>
      <c r="AS36" s="9">
        <v>22</v>
      </c>
      <c r="AT36" s="17" t="str">
        <f t="shared" si="7"/>
        <v/>
      </c>
      <c r="AU36" s="89" t="s">
        <v>110</v>
      </c>
      <c r="AV36" s="20">
        <v>2</v>
      </c>
      <c r="AW36" s="75" t="str">
        <f t="shared" ref="AW36:BH36" si="51">IF(G81="","",G81)</f>
        <v/>
      </c>
      <c r="AX36" s="76" t="str">
        <f t="shared" si="51"/>
        <v/>
      </c>
      <c r="AY36" s="76" t="str">
        <f t="shared" si="51"/>
        <v/>
      </c>
      <c r="AZ36" s="76" t="str">
        <f t="shared" si="51"/>
        <v/>
      </c>
      <c r="BA36" s="76" t="str">
        <f t="shared" si="51"/>
        <v/>
      </c>
      <c r="BB36" s="76" t="str">
        <f t="shared" si="51"/>
        <v/>
      </c>
      <c r="BC36" s="76" t="str">
        <f t="shared" si="51"/>
        <v/>
      </c>
      <c r="BD36" s="76" t="str">
        <f t="shared" si="51"/>
        <v/>
      </c>
      <c r="BE36" s="76" t="str">
        <f t="shared" si="51"/>
        <v/>
      </c>
      <c r="BF36" s="76" t="str">
        <f t="shared" si="51"/>
        <v/>
      </c>
      <c r="BG36" s="76" t="str">
        <f t="shared" si="51"/>
        <v/>
      </c>
      <c r="BH36" s="76" t="str">
        <f t="shared" si="51"/>
        <v/>
      </c>
      <c r="BI36" s="76" t="str">
        <f t="shared" ref="BI36:BV36" si="52">IF(T81="","",T81)</f>
        <v/>
      </c>
      <c r="BJ36" s="76" t="str">
        <f t="shared" si="52"/>
        <v/>
      </c>
      <c r="BK36" s="76" t="str">
        <f t="shared" si="52"/>
        <v/>
      </c>
      <c r="BL36" s="76" t="str">
        <f t="shared" si="52"/>
        <v/>
      </c>
      <c r="BM36" s="76" t="str">
        <f t="shared" si="52"/>
        <v/>
      </c>
      <c r="BN36" s="76" t="str">
        <f t="shared" si="52"/>
        <v/>
      </c>
      <c r="BO36" s="76" t="str">
        <f t="shared" si="52"/>
        <v/>
      </c>
      <c r="BP36" s="76" t="str">
        <f t="shared" si="52"/>
        <v/>
      </c>
      <c r="BQ36" s="76" t="str">
        <f t="shared" si="52"/>
        <v/>
      </c>
      <c r="BR36" s="76" t="str">
        <f t="shared" si="52"/>
        <v/>
      </c>
      <c r="BS36" s="76" t="str">
        <f t="shared" si="52"/>
        <v/>
      </c>
      <c r="BT36" s="76" t="str">
        <f t="shared" si="52"/>
        <v/>
      </c>
      <c r="BU36" s="76" t="str">
        <f t="shared" si="52"/>
        <v/>
      </c>
      <c r="BV36" s="76" t="str">
        <f t="shared" si="52"/>
        <v/>
      </c>
      <c r="BW36" s="33" t="str">
        <f t="shared" si="48"/>
        <v/>
      </c>
      <c r="BX36" s="33" t="str">
        <f t="shared" si="49"/>
        <v/>
      </c>
    </row>
    <row r="37" spans="6:76" ht="20.25" x14ac:dyDescent="0.25">
      <c r="F37" s="3">
        <v>2</v>
      </c>
      <c r="G37" s="64"/>
      <c r="H37" s="65"/>
      <c r="I37" s="122" t="str">
        <f>IF(ISTEXT(_xll.PIArcVal(Data!I$32,Data!$G37,0,"PI_SERVER","exact time")),"",_xll.PIArcVal(Data!I$32,Data!$G37,0,"PI_SERVER","exact time"))</f>
        <v/>
      </c>
      <c r="J37" s="122" t="str">
        <f>IF(ISTEXT(_xll.PIArcVal(Data!J$32,Data!$G37,0,"PI_SERVER","exact time")),"",_xll.PIArcVal(Data!J$32,Data!$G37,0,"PI_SERVER","exact time"))</f>
        <v/>
      </c>
      <c r="K37" s="122" t="str">
        <f t="shared" ref="K37:K45" si="53">IFERROR(I37-J37,"")</f>
        <v/>
      </c>
      <c r="L37" s="122" t="str">
        <f>IF(ISTEXT(_xll.PIArcVal(Data!L$32,Data!$G37,0,"PI_SERVER","exact time")),"",_xll.PIArcVal(Data!L$32,Data!$G37,0,"PI_SERVER","exact time"))</f>
        <v/>
      </c>
      <c r="M37" s="122" t="str">
        <f>IF(ISTEXT(_xll.PIArcVal(Data!M$32,Data!$G37,0,"PI_SERVER","exact time")),"",_xll.PIArcVal(Data!M$32,Data!$G37,0,"PI_SERVER","exact time"))</f>
        <v/>
      </c>
      <c r="N37" s="122" t="str">
        <f t="shared" ref="N37:N45" si="54">IFERROR(L37-M37,"")</f>
        <v/>
      </c>
      <c r="O37" s="123" t="str">
        <f>IF(ISTEXT(_xll.PIArcVal(Data!O$32,Data!$G37,0,"PI_SERVER","exact time")),"",_xll.PIArcVal(Data!O$32,Data!$G37,0,"PI_SERVER","exact time"))</f>
        <v/>
      </c>
      <c r="P37" s="123" t="str">
        <f>IF(ISTEXT(_xll.PIArcVal(Data!P$32,Data!$G37,0,"PI_SERVER","exact time")),"",_xll.PIArcVal(Data!P$32,Data!$G37,0,"PI_SERVER","exact time"))</f>
        <v/>
      </c>
      <c r="Q37" s="123" t="str">
        <f>IF(ISTEXT(_xll.PIArcVal(Data!Q$32,Data!$G37,0,"PI_SERVER","exact time")),"",_xll.PIArcVal(Data!Q$32,Data!$G37,0,"PI_SERVER","exact time"))</f>
        <v/>
      </c>
      <c r="R37" s="123" t="str">
        <f>IF(ISTEXT(_xll.PIArcVal(Data!R$32,Data!$G37,0,"PI_SERVER","exact time")),"",_xll.PIArcVal(Data!R$32,Data!$G37,0,"PI_SERVER","exact time"))</f>
        <v/>
      </c>
      <c r="S37" s="123"/>
      <c r="T37" s="123" t="str">
        <f>IF(ISTEXT(_xll.PIArcVal(Data!T$32,Data!$G37,0,"PI_SERVER","exact time")),"",_xll.PIArcVal(Data!T$32,Data!$G37,0,"PI_SERVER","exact time"))</f>
        <v/>
      </c>
      <c r="U37" s="123" t="str">
        <f>IF(ISTEXT(_xll.PIArcVal(Data!U$32,Data!$G37,0,"PI_SERVER","exact time")),"",_xll.PIArcVal(Data!U$32,Data!$G37,0,"PI_SERVER","exact time"))</f>
        <v/>
      </c>
      <c r="V37" s="123" t="str">
        <f>IF(ISTEXT(_xll.PIArcVal(Data!V$32,Data!$G37,0,"PI_SERVER","exact time")),"",_xll.PIArcVal(Data!V$32,Data!$G37,0,"PI_SERVER","exact time"))</f>
        <v/>
      </c>
      <c r="W37" s="123" t="str">
        <f>IF(ISTEXT(_xll.PIArcVal(Data!W$32,Data!$G37,0,"PI_SERVER","exact time")),"",_xll.PIArcVal(Data!W$32,Data!$G37,0,"PI_SERVER","exact time"))</f>
        <v/>
      </c>
      <c r="X37" s="123" t="str">
        <f>IF(ISTEXT(_xll.PIArcVal(Data!X$32,Data!$G37,0,"PI_SERVER","exact time")),"",_xll.PIArcVal(Data!X$32,Data!$G37,0,"PI_SERVER","exact time"))</f>
        <v/>
      </c>
      <c r="Y37" s="123" t="str">
        <f>IF(ISTEXT(_xll.PIArcVal(Data!Y$32,Data!$G37,0,"PI_SERVER","exact time")),"",_xll.PIArcVal(Data!Y$32,Data!$G37,0,"PI_SERVER","exact time"))</f>
        <v/>
      </c>
      <c r="Z37" s="123" t="str">
        <f>IF(ISTEXT(_xll.PIArcVal(Data!Z$32,Data!$G37,0,"PI_SERVER","exact time")),"",_xll.PIArcVal(Data!Z$32,Data!$G37,0,"PI_SERVER","exact time"))</f>
        <v/>
      </c>
      <c r="AA37" s="123" t="str">
        <f>IF(ISTEXT(_xll.PIArcVal(Data!AA$32,Data!$G37,0,"PI_SERVER","exact time")),"",_xll.PIArcVal(Data!AA$32,Data!$G37,0,"PI_SERVER","exact time"))</f>
        <v/>
      </c>
      <c r="AB37" s="123" t="str">
        <f>IF(ISTEXT(_xll.PIArcVal(Data!AB$32,Data!$G37,0,"PI_SERVER","exact time")),"",_xll.PIArcVal(Data!AB$32,Data!$G37,0,"PI_SERVER","exact time"))</f>
        <v/>
      </c>
      <c r="AC37" s="123" t="str">
        <f>IF(ISTEXT(_xll.PIArcVal(Data!AC$32,Data!$G37,0,"PI_SERVER","exact time")),"",_xll.PIArcVal(Data!AC$32,Data!$G37,0,"PI_SERVER","exact time"))</f>
        <v/>
      </c>
      <c r="AD37" s="123" t="str">
        <f>IF(ISTEXT(_xll.PIArcVal(Data!AD$32,Data!$G37,0,"PI_SERVER","exact time")),"",_xll.PIArcVal(Data!AD$32,Data!$G37,0,"PI_SERVER","exact time"))</f>
        <v/>
      </c>
      <c r="AE37" s="123" t="str">
        <f>IF(ISTEXT(_xll.PIArcVal(Data!AE$32,Data!$G37,0,"PI_SERVER","exact time")),"",_xll.PIArcVal(Data!AE$32,Data!$G37,0,"PI_SERVER","exact time"))</f>
        <v/>
      </c>
      <c r="AF37" s="123" t="str">
        <f>IF(ISTEXT(_xll.PIArcVal(Data!AF$32,Data!$G37,0,"PI_SERVER","exact time")),"",_xll.PIArcVal(Data!AF$32,Data!$G37,0,"PI_SERVER","exact time"))</f>
        <v/>
      </c>
      <c r="AG37" s="123" t="str">
        <f>IF(ISTEXT(_xll.PIArcVal(Data!AG$32,Data!$G37,0,"PI_SERVER","exact time")),"",_xll.PIArcVal(Data!AG$32,Data!$G37,0,"PI_SERVER","exact time"))</f>
        <v/>
      </c>
      <c r="AH37" s="124" t="str">
        <f t="shared" si="50"/>
        <v/>
      </c>
      <c r="AI37" s="66" t="str">
        <f>IF(ISTEXT(_xll.PIArcVal(Data!AI$32,Data!$G37,0,"PI_SERVER","exact time")),"",_xll.PIArcVal(Data!AI$32,Data!$G37,0,"PI_SERVER","exact time"))</f>
        <v/>
      </c>
      <c r="AJ37" s="66" t="str">
        <f>IF(ISTEXT(_xll.PIArcVal(Data!AJ$32,Data!$G37,0,"PI_SERVER","exact time")),"",_xll.PIArcVal(Data!AJ$32,Data!$G37,0,"PI_SERVER","exact time"))</f>
        <v/>
      </c>
      <c r="AK37" s="66" t="str">
        <f>IF(ISTEXT(_xll.PIArcVal(Data!AK$32,Data!$G37,0,"PI_SERVER","exact time")),"",_xll.PIArcVal(Data!AK$32,Data!$G37,0,"PI_SERVER","exact time"))</f>
        <v/>
      </c>
      <c r="AL37" s="69">
        <f t="shared" ref="AL37:AL45" si="55">IF(OR(G37=" ",G37="",ISTEXT(G37)), 0,1)</f>
        <v>0</v>
      </c>
      <c r="AM37" s="18"/>
      <c r="AN37" s="18"/>
      <c r="AO37" s="22"/>
      <c r="AQ37" s="3">
        <f t="shared" si="14"/>
        <v>0</v>
      </c>
      <c r="AR37" s="19" t="s">
        <v>134</v>
      </c>
      <c r="AS37" s="9">
        <v>23</v>
      </c>
      <c r="AT37" s="17" t="str">
        <f t="shared" si="7"/>
        <v/>
      </c>
      <c r="AU37" s="89" t="s">
        <v>110</v>
      </c>
      <c r="AV37" s="20">
        <v>3</v>
      </c>
      <c r="AW37" s="75" t="str">
        <f t="shared" ref="AW37:BH37" si="56">IF(G82="","",G82)</f>
        <v/>
      </c>
      <c r="AX37" s="76" t="str">
        <f t="shared" si="56"/>
        <v/>
      </c>
      <c r="AY37" s="76" t="str">
        <f t="shared" si="56"/>
        <v/>
      </c>
      <c r="AZ37" s="76" t="str">
        <f t="shared" si="56"/>
        <v/>
      </c>
      <c r="BA37" s="76" t="str">
        <f t="shared" si="56"/>
        <v/>
      </c>
      <c r="BB37" s="76" t="str">
        <f t="shared" si="56"/>
        <v/>
      </c>
      <c r="BC37" s="76" t="str">
        <f t="shared" si="56"/>
        <v/>
      </c>
      <c r="BD37" s="76" t="str">
        <f t="shared" si="56"/>
        <v/>
      </c>
      <c r="BE37" s="76" t="str">
        <f t="shared" si="56"/>
        <v/>
      </c>
      <c r="BF37" s="76" t="str">
        <f t="shared" si="56"/>
        <v/>
      </c>
      <c r="BG37" s="76" t="str">
        <f t="shared" si="56"/>
        <v/>
      </c>
      <c r="BH37" s="76" t="str">
        <f t="shared" si="56"/>
        <v/>
      </c>
      <c r="BI37" s="76" t="str">
        <f t="shared" ref="BI37:BV37" si="57">IF(T82="","",T82)</f>
        <v/>
      </c>
      <c r="BJ37" s="76" t="str">
        <f t="shared" si="57"/>
        <v/>
      </c>
      <c r="BK37" s="76" t="str">
        <f t="shared" si="57"/>
        <v/>
      </c>
      <c r="BL37" s="76" t="str">
        <f t="shared" si="57"/>
        <v/>
      </c>
      <c r="BM37" s="76" t="str">
        <f t="shared" si="57"/>
        <v/>
      </c>
      <c r="BN37" s="76" t="str">
        <f t="shared" si="57"/>
        <v/>
      </c>
      <c r="BO37" s="76" t="str">
        <f t="shared" si="57"/>
        <v/>
      </c>
      <c r="BP37" s="76" t="str">
        <f t="shared" si="57"/>
        <v/>
      </c>
      <c r="BQ37" s="76" t="str">
        <f t="shared" si="57"/>
        <v/>
      </c>
      <c r="BR37" s="76" t="str">
        <f t="shared" si="57"/>
        <v/>
      </c>
      <c r="BS37" s="76" t="str">
        <f t="shared" si="57"/>
        <v/>
      </c>
      <c r="BT37" s="76" t="str">
        <f t="shared" si="57"/>
        <v/>
      </c>
      <c r="BU37" s="76" t="str">
        <f t="shared" si="57"/>
        <v/>
      </c>
      <c r="BV37" s="76" t="str">
        <f t="shared" si="57"/>
        <v/>
      </c>
      <c r="BW37" s="33" t="str">
        <f t="shared" si="48"/>
        <v/>
      </c>
      <c r="BX37" s="33" t="str">
        <f t="shared" si="49"/>
        <v/>
      </c>
    </row>
    <row r="38" spans="6:76" ht="20.25" x14ac:dyDescent="0.25">
      <c r="F38" s="3">
        <v>3</v>
      </c>
      <c r="G38" s="64"/>
      <c r="H38" s="65"/>
      <c r="I38" s="122" t="str">
        <f>IF(ISTEXT(_xll.PIArcVal(Data!I$32,Data!$G38,0,"PI_SERVER","exact time")),"",_xll.PIArcVal(Data!I$32,Data!$G38,0,"PI_SERVER","exact time"))</f>
        <v/>
      </c>
      <c r="J38" s="122" t="str">
        <f>IF(ISTEXT(_xll.PIArcVal(Data!J$32,Data!$G38,0,"PI_SERVER","exact time")),"",_xll.PIArcVal(Data!J$32,Data!$G38,0,"PI_SERVER","exact time"))</f>
        <v/>
      </c>
      <c r="K38" s="122" t="str">
        <f t="shared" si="53"/>
        <v/>
      </c>
      <c r="L38" s="122" t="str">
        <f>IF(ISTEXT(_xll.PIArcVal(Data!L$32,Data!$G38,0,"PI_SERVER","exact time")),"",_xll.PIArcVal(Data!L$32,Data!$G38,0,"PI_SERVER","exact time"))</f>
        <v/>
      </c>
      <c r="M38" s="122" t="str">
        <f>IF(ISTEXT(_xll.PIArcVal(Data!M$32,Data!$G38,0,"PI_SERVER","exact time")),"",_xll.PIArcVal(Data!M$32,Data!$G38,0,"PI_SERVER","exact time"))</f>
        <v/>
      </c>
      <c r="N38" s="122" t="str">
        <f t="shared" si="54"/>
        <v/>
      </c>
      <c r="O38" s="123" t="str">
        <f>IF(ISTEXT(_xll.PIArcVal(Data!O$32,Data!$G38,0,"PI_SERVER","exact time")),"",_xll.PIArcVal(Data!O$32,Data!$G38,0,"PI_SERVER","exact time"))</f>
        <v/>
      </c>
      <c r="P38" s="123" t="str">
        <f>IF(ISTEXT(_xll.PIArcVal(Data!P$32,Data!$G38,0,"PI_SERVER","exact time")),"",_xll.PIArcVal(Data!P$32,Data!$G38,0,"PI_SERVER","exact time"))</f>
        <v/>
      </c>
      <c r="Q38" s="123" t="str">
        <f>IF(ISTEXT(_xll.PIArcVal(Data!Q$32,Data!$G38,0,"PI_SERVER","exact time")),"",_xll.PIArcVal(Data!Q$32,Data!$G38,0,"PI_SERVER","exact time"))</f>
        <v/>
      </c>
      <c r="R38" s="123" t="str">
        <f>IF(ISTEXT(_xll.PIArcVal(Data!R$32,Data!$G38,0,"PI_SERVER","exact time")),"",_xll.PIArcVal(Data!R$32,Data!$G38,0,"PI_SERVER","exact time"))</f>
        <v/>
      </c>
      <c r="S38" s="123"/>
      <c r="T38" s="123" t="str">
        <f>IF(ISTEXT(_xll.PIArcVal(Data!T$32,Data!$G38,0,"PI_SERVER","exact time")),"",_xll.PIArcVal(Data!T$32,Data!$G38,0,"PI_SERVER","exact time"))</f>
        <v/>
      </c>
      <c r="U38" s="123" t="str">
        <f>IF(ISTEXT(_xll.PIArcVal(Data!U$32,Data!$G38,0,"PI_SERVER","exact time")),"",_xll.PIArcVal(Data!U$32,Data!$G38,0,"PI_SERVER","exact time"))</f>
        <v/>
      </c>
      <c r="V38" s="123" t="str">
        <f>IF(ISTEXT(_xll.PIArcVal(Data!V$32,Data!$G38,0,"PI_SERVER","exact time")),"",_xll.PIArcVal(Data!V$32,Data!$G38,0,"PI_SERVER","exact time"))</f>
        <v/>
      </c>
      <c r="W38" s="123" t="str">
        <f>IF(ISTEXT(_xll.PIArcVal(Data!W$32,Data!$G38,0,"PI_SERVER","exact time")),"",_xll.PIArcVal(Data!W$32,Data!$G38,0,"PI_SERVER","exact time"))</f>
        <v/>
      </c>
      <c r="X38" s="123" t="str">
        <f>IF(ISTEXT(_xll.PIArcVal(Data!X$32,Data!$G38,0,"PI_SERVER","exact time")),"",_xll.PIArcVal(Data!X$32,Data!$G38,0,"PI_SERVER","exact time"))</f>
        <v/>
      </c>
      <c r="Y38" s="123" t="str">
        <f>IF(ISTEXT(_xll.PIArcVal(Data!Y$32,Data!$G38,0,"PI_SERVER","exact time")),"",_xll.PIArcVal(Data!Y$32,Data!$G38,0,"PI_SERVER","exact time"))</f>
        <v/>
      </c>
      <c r="Z38" s="123" t="str">
        <f>IF(ISTEXT(_xll.PIArcVal(Data!Z$32,Data!$G38,0,"PI_SERVER","exact time")),"",_xll.PIArcVal(Data!Z$32,Data!$G38,0,"PI_SERVER","exact time"))</f>
        <v/>
      </c>
      <c r="AA38" s="123" t="str">
        <f>IF(ISTEXT(_xll.PIArcVal(Data!AA$32,Data!$G38,0,"PI_SERVER","exact time")),"",_xll.PIArcVal(Data!AA$32,Data!$G38,0,"PI_SERVER","exact time"))</f>
        <v/>
      </c>
      <c r="AB38" s="123" t="str">
        <f>IF(ISTEXT(_xll.PIArcVal(Data!AB$32,Data!$G38,0,"PI_SERVER","exact time")),"",_xll.PIArcVal(Data!AB$32,Data!$G38,0,"PI_SERVER","exact time"))</f>
        <v/>
      </c>
      <c r="AC38" s="123" t="str">
        <f>IF(ISTEXT(_xll.PIArcVal(Data!AC$32,Data!$G38,0,"PI_SERVER","exact time")),"",_xll.PIArcVal(Data!AC$32,Data!$G38,0,"PI_SERVER","exact time"))</f>
        <v/>
      </c>
      <c r="AD38" s="123" t="str">
        <f>IF(ISTEXT(_xll.PIArcVal(Data!AD$32,Data!$G38,0,"PI_SERVER","exact time")),"",_xll.PIArcVal(Data!AD$32,Data!$G38,0,"PI_SERVER","exact time"))</f>
        <v/>
      </c>
      <c r="AE38" s="123" t="str">
        <f>IF(ISTEXT(_xll.PIArcVal(Data!AE$32,Data!$G38,0,"PI_SERVER","exact time")),"",_xll.PIArcVal(Data!AE$32,Data!$G38,0,"PI_SERVER","exact time"))</f>
        <v/>
      </c>
      <c r="AF38" s="123" t="str">
        <f>IF(ISTEXT(_xll.PIArcVal(Data!AF$32,Data!$G38,0,"PI_SERVER","exact time")),"",_xll.PIArcVal(Data!AF$32,Data!$G38,0,"PI_SERVER","exact time"))</f>
        <v/>
      </c>
      <c r="AG38" s="123" t="str">
        <f>IF(ISTEXT(_xll.PIArcVal(Data!AG$32,Data!$G38,0,"PI_SERVER","exact time")),"",_xll.PIArcVal(Data!AG$32,Data!$G38,0,"PI_SERVER","exact time"))</f>
        <v/>
      </c>
      <c r="AH38" s="124" t="str">
        <f t="shared" si="50"/>
        <v/>
      </c>
      <c r="AI38" s="66" t="str">
        <f>IF(ISTEXT(_xll.PIArcVal(Data!AI$32,Data!$G38,0,"PI_SERVER","exact time")),"",_xll.PIArcVal(Data!AI$32,Data!$G38,0,"PI_SERVER","exact time"))</f>
        <v/>
      </c>
      <c r="AJ38" s="66" t="str">
        <f>IF(ISTEXT(_xll.PIArcVal(Data!AJ$32,Data!$G38,0,"PI_SERVER","exact time")),"",_xll.PIArcVal(Data!AJ$32,Data!$G38,0,"PI_SERVER","exact time"))</f>
        <v/>
      </c>
      <c r="AK38" s="66" t="str">
        <f>IF(ISTEXT(_xll.PIArcVal(Data!AK$32,Data!$G38,0,"PI_SERVER","exact time")),"",_xll.PIArcVal(Data!AK$32,Data!$G38,0,"PI_SERVER","exact time"))</f>
        <v/>
      </c>
      <c r="AL38" s="69">
        <f t="shared" si="55"/>
        <v>0</v>
      </c>
      <c r="AM38" s="18"/>
      <c r="AN38" s="18"/>
      <c r="AQ38" s="3">
        <f t="shared" si="14"/>
        <v>0</v>
      </c>
      <c r="AR38" s="19" t="s">
        <v>135</v>
      </c>
      <c r="AS38" s="9">
        <v>24</v>
      </c>
      <c r="AT38" s="17" t="str">
        <f t="shared" si="7"/>
        <v/>
      </c>
      <c r="AU38" s="89" t="s">
        <v>110</v>
      </c>
      <c r="AV38" s="20">
        <v>4</v>
      </c>
      <c r="AW38" s="75" t="str">
        <f t="shared" ref="AW38:BH38" si="58">IF(G83="","",G83)</f>
        <v/>
      </c>
      <c r="AX38" s="76" t="str">
        <f t="shared" si="58"/>
        <v/>
      </c>
      <c r="AY38" s="76" t="str">
        <f t="shared" si="58"/>
        <v/>
      </c>
      <c r="AZ38" s="76" t="str">
        <f t="shared" si="58"/>
        <v/>
      </c>
      <c r="BA38" s="76" t="str">
        <f t="shared" si="58"/>
        <v/>
      </c>
      <c r="BB38" s="76" t="str">
        <f t="shared" si="58"/>
        <v/>
      </c>
      <c r="BC38" s="76" t="str">
        <f t="shared" si="58"/>
        <v/>
      </c>
      <c r="BD38" s="76" t="str">
        <f t="shared" si="58"/>
        <v/>
      </c>
      <c r="BE38" s="76" t="str">
        <f t="shared" si="58"/>
        <v/>
      </c>
      <c r="BF38" s="76" t="str">
        <f t="shared" si="58"/>
        <v/>
      </c>
      <c r="BG38" s="76" t="str">
        <f t="shared" si="58"/>
        <v/>
      </c>
      <c r="BH38" s="76" t="str">
        <f t="shared" si="58"/>
        <v/>
      </c>
      <c r="BI38" s="76" t="str">
        <f t="shared" ref="BI38:BV38" si="59">IF(T83="","",T83)</f>
        <v/>
      </c>
      <c r="BJ38" s="76" t="str">
        <f t="shared" si="59"/>
        <v/>
      </c>
      <c r="BK38" s="76" t="str">
        <f t="shared" si="59"/>
        <v/>
      </c>
      <c r="BL38" s="76" t="str">
        <f t="shared" si="59"/>
        <v/>
      </c>
      <c r="BM38" s="76" t="str">
        <f t="shared" si="59"/>
        <v/>
      </c>
      <c r="BN38" s="76" t="str">
        <f t="shared" si="59"/>
        <v/>
      </c>
      <c r="BO38" s="76" t="str">
        <f t="shared" si="59"/>
        <v/>
      </c>
      <c r="BP38" s="76" t="str">
        <f t="shared" si="59"/>
        <v/>
      </c>
      <c r="BQ38" s="76" t="str">
        <f t="shared" si="59"/>
        <v/>
      </c>
      <c r="BR38" s="76" t="str">
        <f t="shared" si="59"/>
        <v/>
      </c>
      <c r="BS38" s="76" t="str">
        <f t="shared" si="59"/>
        <v/>
      </c>
      <c r="BT38" s="76" t="str">
        <f t="shared" si="59"/>
        <v/>
      </c>
      <c r="BU38" s="76" t="str">
        <f t="shared" si="59"/>
        <v/>
      </c>
      <c r="BV38" s="76" t="str">
        <f t="shared" si="59"/>
        <v/>
      </c>
      <c r="BW38" s="33" t="str">
        <f t="shared" si="48"/>
        <v/>
      </c>
      <c r="BX38" s="33" t="str">
        <f t="shared" si="49"/>
        <v/>
      </c>
    </row>
    <row r="39" spans="6:76" ht="20.25" x14ac:dyDescent="0.25">
      <c r="F39" s="3">
        <v>4</v>
      </c>
      <c r="G39" s="64"/>
      <c r="H39" s="65"/>
      <c r="I39" s="122" t="str">
        <f>IF(ISTEXT(_xll.PIArcVal(Data!I$32,Data!$G39,0,"PI_SERVER","exact time")),"",_xll.PIArcVal(Data!I$32,Data!$G39,0,"PI_SERVER","exact time"))</f>
        <v/>
      </c>
      <c r="J39" s="122" t="str">
        <f>IF(ISTEXT(_xll.PIArcVal(Data!J$32,Data!$G39,0,"PI_SERVER","exact time")),"",_xll.PIArcVal(Data!J$32,Data!$G39,0,"PI_SERVER","exact time"))</f>
        <v/>
      </c>
      <c r="K39" s="122" t="str">
        <f t="shared" si="53"/>
        <v/>
      </c>
      <c r="L39" s="122" t="str">
        <f>IF(ISTEXT(_xll.PIArcVal(Data!L$32,Data!$G39,0,"PI_SERVER","exact time")),"",_xll.PIArcVal(Data!L$32,Data!$G39,0,"PI_SERVER","exact time"))</f>
        <v/>
      </c>
      <c r="M39" s="122" t="str">
        <f>IF(ISTEXT(_xll.PIArcVal(Data!M$32,Data!$G39,0,"PI_SERVER","exact time")),"",_xll.PIArcVal(Data!M$32,Data!$G39,0,"PI_SERVER","exact time"))</f>
        <v/>
      </c>
      <c r="N39" s="122" t="str">
        <f t="shared" si="54"/>
        <v/>
      </c>
      <c r="O39" s="123" t="str">
        <f>IF(ISTEXT(_xll.PIArcVal(Data!O$32,Data!$G39,0,"PI_SERVER","exact time")),"",_xll.PIArcVal(Data!O$32,Data!$G39,0,"PI_SERVER","exact time"))</f>
        <v/>
      </c>
      <c r="P39" s="123" t="str">
        <f>IF(ISTEXT(_xll.PIArcVal(Data!P$32,Data!$G39,0,"PI_SERVER","exact time")),"",_xll.PIArcVal(Data!P$32,Data!$G39,0,"PI_SERVER","exact time"))</f>
        <v/>
      </c>
      <c r="Q39" s="123" t="str">
        <f>IF(ISTEXT(_xll.PIArcVal(Data!Q$32,Data!$G39,0,"PI_SERVER","exact time")),"",_xll.PIArcVal(Data!Q$32,Data!$G39,0,"PI_SERVER","exact time"))</f>
        <v/>
      </c>
      <c r="R39" s="123" t="str">
        <f>IF(ISTEXT(_xll.PIArcVal(Data!R$32,Data!$G39,0,"PI_SERVER","exact time")),"",_xll.PIArcVal(Data!R$32,Data!$G39,0,"PI_SERVER","exact time"))</f>
        <v/>
      </c>
      <c r="S39" s="123"/>
      <c r="T39" s="123" t="str">
        <f>IF(ISTEXT(_xll.PIArcVal(Data!T$32,Data!$G39,0,"PI_SERVER","exact time")),"",_xll.PIArcVal(Data!T$32,Data!$G39,0,"PI_SERVER","exact time"))</f>
        <v/>
      </c>
      <c r="U39" s="123" t="str">
        <f>IF(ISTEXT(_xll.PIArcVal(Data!U$32,Data!$G39,0,"PI_SERVER","exact time")),"",_xll.PIArcVal(Data!U$32,Data!$G39,0,"PI_SERVER","exact time"))</f>
        <v/>
      </c>
      <c r="V39" s="123" t="str">
        <f>IF(ISTEXT(_xll.PIArcVal(Data!V$32,Data!$G39,0,"PI_SERVER","exact time")),"",_xll.PIArcVal(Data!V$32,Data!$G39,0,"PI_SERVER","exact time"))</f>
        <v/>
      </c>
      <c r="W39" s="123" t="str">
        <f>IF(ISTEXT(_xll.PIArcVal(Data!W$32,Data!$G39,0,"PI_SERVER","exact time")),"",_xll.PIArcVal(Data!W$32,Data!$G39,0,"PI_SERVER","exact time"))</f>
        <v/>
      </c>
      <c r="X39" s="123" t="str">
        <f>IF(ISTEXT(_xll.PIArcVal(Data!X$32,Data!$G39,0,"PI_SERVER","exact time")),"",_xll.PIArcVal(Data!X$32,Data!$G39,0,"PI_SERVER","exact time"))</f>
        <v/>
      </c>
      <c r="Y39" s="123" t="str">
        <f>IF(ISTEXT(_xll.PIArcVal(Data!Y$32,Data!$G39,0,"PI_SERVER","exact time")),"",_xll.PIArcVal(Data!Y$32,Data!$G39,0,"PI_SERVER","exact time"))</f>
        <v/>
      </c>
      <c r="Z39" s="123" t="str">
        <f>IF(ISTEXT(_xll.PIArcVal(Data!Z$32,Data!$G39,0,"PI_SERVER","exact time")),"",_xll.PIArcVal(Data!Z$32,Data!$G39,0,"PI_SERVER","exact time"))</f>
        <v/>
      </c>
      <c r="AA39" s="123" t="str">
        <f>IF(ISTEXT(_xll.PIArcVal(Data!AA$32,Data!$G39,0,"PI_SERVER","exact time")),"",_xll.PIArcVal(Data!AA$32,Data!$G39,0,"PI_SERVER","exact time"))</f>
        <v/>
      </c>
      <c r="AB39" s="123" t="str">
        <f>IF(ISTEXT(_xll.PIArcVal(Data!AB$32,Data!$G39,0,"PI_SERVER","exact time")),"",_xll.PIArcVal(Data!AB$32,Data!$G39,0,"PI_SERVER","exact time"))</f>
        <v/>
      </c>
      <c r="AC39" s="123" t="str">
        <f>IF(ISTEXT(_xll.PIArcVal(Data!AC$32,Data!$G39,0,"PI_SERVER","exact time")),"",_xll.PIArcVal(Data!AC$32,Data!$G39,0,"PI_SERVER","exact time"))</f>
        <v/>
      </c>
      <c r="AD39" s="123" t="str">
        <f>IF(ISTEXT(_xll.PIArcVal(Data!AD$32,Data!$G39,0,"PI_SERVER","exact time")),"",_xll.PIArcVal(Data!AD$32,Data!$G39,0,"PI_SERVER","exact time"))</f>
        <v/>
      </c>
      <c r="AE39" s="123" t="str">
        <f>IF(ISTEXT(_xll.PIArcVal(Data!AE$32,Data!$G39,0,"PI_SERVER","exact time")),"",_xll.PIArcVal(Data!AE$32,Data!$G39,0,"PI_SERVER","exact time"))</f>
        <v/>
      </c>
      <c r="AF39" s="123" t="str">
        <f>IF(ISTEXT(_xll.PIArcVal(Data!AF$32,Data!$G39,0,"PI_SERVER","exact time")),"",_xll.PIArcVal(Data!AF$32,Data!$G39,0,"PI_SERVER","exact time"))</f>
        <v/>
      </c>
      <c r="AG39" s="123" t="str">
        <f>IF(ISTEXT(_xll.PIArcVal(Data!AG$32,Data!$G39,0,"PI_SERVER","exact time")),"",_xll.PIArcVal(Data!AG$32,Data!$G39,0,"PI_SERVER","exact time"))</f>
        <v/>
      </c>
      <c r="AH39" s="124" t="str">
        <f t="shared" si="50"/>
        <v/>
      </c>
      <c r="AI39" s="66" t="str">
        <f>IF(ISTEXT(_xll.PIArcVal(Data!AI$32,Data!$G39,0,"PI_SERVER","exact time")),"",_xll.PIArcVal(Data!AI$32,Data!$G39,0,"PI_SERVER","exact time"))</f>
        <v/>
      </c>
      <c r="AJ39" s="66" t="str">
        <f>IF(ISTEXT(_xll.PIArcVal(Data!AJ$32,Data!$G39,0,"PI_SERVER","exact time")),"",_xll.PIArcVal(Data!AJ$32,Data!$G39,0,"PI_SERVER","exact time"))</f>
        <v/>
      </c>
      <c r="AK39" s="66" t="str">
        <f>IF(ISTEXT(_xll.PIArcVal(Data!AK$32,Data!$G39,0,"PI_SERVER","exact time")),"",_xll.PIArcVal(Data!AK$32,Data!$G39,0,"PI_SERVER","exact time"))</f>
        <v/>
      </c>
      <c r="AL39" s="69">
        <f t="shared" si="55"/>
        <v>0</v>
      </c>
      <c r="AM39" s="18"/>
      <c r="AN39" s="18"/>
      <c r="AO39" s="18"/>
      <c r="AQ39" s="3">
        <f t="shared" si="14"/>
        <v>0</v>
      </c>
      <c r="AR39" s="19" t="s">
        <v>136</v>
      </c>
      <c r="AS39" s="9">
        <v>25</v>
      </c>
      <c r="AT39" s="17" t="str">
        <f t="shared" si="7"/>
        <v/>
      </c>
      <c r="AU39" s="89" t="s">
        <v>110</v>
      </c>
      <c r="AV39" s="20">
        <v>5</v>
      </c>
      <c r="AW39" s="75" t="str">
        <f t="shared" ref="AW39:BH39" si="60">IF(G84="","",G84)</f>
        <v/>
      </c>
      <c r="AX39" s="76" t="str">
        <f t="shared" si="60"/>
        <v/>
      </c>
      <c r="AY39" s="76" t="str">
        <f t="shared" si="60"/>
        <v/>
      </c>
      <c r="AZ39" s="76" t="str">
        <f t="shared" si="60"/>
        <v/>
      </c>
      <c r="BA39" s="76" t="str">
        <f t="shared" si="60"/>
        <v/>
      </c>
      <c r="BB39" s="76" t="str">
        <f t="shared" si="60"/>
        <v/>
      </c>
      <c r="BC39" s="76" t="str">
        <f t="shared" si="60"/>
        <v/>
      </c>
      <c r="BD39" s="76" t="str">
        <f t="shared" si="60"/>
        <v/>
      </c>
      <c r="BE39" s="76" t="str">
        <f t="shared" si="60"/>
        <v/>
      </c>
      <c r="BF39" s="76" t="str">
        <f t="shared" si="60"/>
        <v/>
      </c>
      <c r="BG39" s="76" t="str">
        <f t="shared" si="60"/>
        <v/>
      </c>
      <c r="BH39" s="76" t="str">
        <f t="shared" si="60"/>
        <v/>
      </c>
      <c r="BI39" s="76" t="str">
        <f t="shared" ref="BI39:BV39" si="61">IF(T84="","",T84)</f>
        <v/>
      </c>
      <c r="BJ39" s="76" t="str">
        <f t="shared" si="61"/>
        <v/>
      </c>
      <c r="BK39" s="76" t="str">
        <f t="shared" si="61"/>
        <v/>
      </c>
      <c r="BL39" s="76" t="str">
        <f t="shared" si="61"/>
        <v/>
      </c>
      <c r="BM39" s="76" t="str">
        <f t="shared" si="61"/>
        <v/>
      </c>
      <c r="BN39" s="76" t="str">
        <f t="shared" si="61"/>
        <v/>
      </c>
      <c r="BO39" s="76" t="str">
        <f t="shared" si="61"/>
        <v/>
      </c>
      <c r="BP39" s="76" t="str">
        <f t="shared" si="61"/>
        <v/>
      </c>
      <c r="BQ39" s="76" t="str">
        <f t="shared" si="61"/>
        <v/>
      </c>
      <c r="BR39" s="76" t="str">
        <f t="shared" si="61"/>
        <v/>
      </c>
      <c r="BS39" s="76" t="str">
        <f t="shared" si="61"/>
        <v/>
      </c>
      <c r="BT39" s="76" t="str">
        <f t="shared" si="61"/>
        <v/>
      </c>
      <c r="BU39" s="76" t="str">
        <f t="shared" si="61"/>
        <v/>
      </c>
      <c r="BV39" s="76" t="str">
        <f t="shared" si="61"/>
        <v/>
      </c>
      <c r="BW39" s="33" t="str">
        <f t="shared" si="48"/>
        <v/>
      </c>
      <c r="BX39" s="33" t="str">
        <f t="shared" si="49"/>
        <v/>
      </c>
    </row>
    <row r="40" spans="6:76" ht="20.25" x14ac:dyDescent="0.25">
      <c r="F40" s="3">
        <v>5</v>
      </c>
      <c r="G40" s="64"/>
      <c r="H40" s="65"/>
      <c r="I40" s="122" t="str">
        <f>IF(ISTEXT(_xll.PIArcVal(Data!I$32,Data!$G40,0,"PI_SERVER","exact time")),"",_xll.PIArcVal(Data!I$32,Data!$G40,0,"PI_SERVER","exact time"))</f>
        <v/>
      </c>
      <c r="J40" s="122" t="str">
        <f>IF(ISTEXT(_xll.PIArcVal(Data!J$32,Data!$G40,0,"PI_SERVER","exact time")),"",_xll.PIArcVal(Data!J$32,Data!$G40,0,"PI_SERVER","exact time"))</f>
        <v/>
      </c>
      <c r="K40" s="122" t="str">
        <f t="shared" si="53"/>
        <v/>
      </c>
      <c r="L40" s="122" t="str">
        <f>IF(ISTEXT(_xll.PIArcVal(Data!L$32,Data!$G40,0,"PI_SERVER","exact time")),"",_xll.PIArcVal(Data!L$32,Data!$G40,0,"PI_SERVER","exact time"))</f>
        <v/>
      </c>
      <c r="M40" s="122" t="str">
        <f>IF(ISTEXT(_xll.PIArcVal(Data!M$32,Data!$G40,0,"PI_SERVER","exact time")),"",_xll.PIArcVal(Data!M$32,Data!$G40,0,"PI_SERVER","exact time"))</f>
        <v/>
      </c>
      <c r="N40" s="122" t="str">
        <f t="shared" si="54"/>
        <v/>
      </c>
      <c r="O40" s="123" t="str">
        <f>IF(ISTEXT(_xll.PIArcVal(Data!O$32,Data!$G40,0,"PI_SERVER","exact time")),"",_xll.PIArcVal(Data!O$32,Data!$G40,0,"PI_SERVER","exact time"))</f>
        <v/>
      </c>
      <c r="P40" s="123" t="str">
        <f>IF(ISTEXT(_xll.PIArcVal(Data!P$32,Data!$G40,0,"PI_SERVER","exact time")),"",_xll.PIArcVal(Data!P$32,Data!$G40,0,"PI_SERVER","exact time"))</f>
        <v/>
      </c>
      <c r="Q40" s="123" t="str">
        <f>IF(ISTEXT(_xll.PIArcVal(Data!Q$32,Data!$G40,0,"PI_SERVER","exact time")),"",_xll.PIArcVal(Data!Q$32,Data!$G40,0,"PI_SERVER","exact time"))</f>
        <v/>
      </c>
      <c r="R40" s="123" t="str">
        <f>IF(ISTEXT(_xll.PIArcVal(Data!R$32,Data!$G40,0,"PI_SERVER","exact time")),"",_xll.PIArcVal(Data!R$32,Data!$G40,0,"PI_SERVER","exact time"))</f>
        <v/>
      </c>
      <c r="S40" s="123"/>
      <c r="T40" s="123" t="str">
        <f>IF(ISTEXT(_xll.PIArcVal(Data!T$32,Data!$G40,0,"PI_SERVER","exact time")),"",_xll.PIArcVal(Data!T$32,Data!$G40,0,"PI_SERVER","exact time"))</f>
        <v/>
      </c>
      <c r="U40" s="123" t="str">
        <f>IF(ISTEXT(_xll.PIArcVal(Data!U$32,Data!$G40,0,"PI_SERVER","exact time")),"",_xll.PIArcVal(Data!U$32,Data!$G40,0,"PI_SERVER","exact time"))</f>
        <v/>
      </c>
      <c r="V40" s="123" t="str">
        <f>IF(ISTEXT(_xll.PIArcVal(Data!V$32,Data!$G40,0,"PI_SERVER","exact time")),"",_xll.PIArcVal(Data!V$32,Data!$G40,0,"PI_SERVER","exact time"))</f>
        <v/>
      </c>
      <c r="W40" s="123" t="str">
        <f>IF(ISTEXT(_xll.PIArcVal(Data!W$32,Data!$G40,0,"PI_SERVER","exact time")),"",_xll.PIArcVal(Data!W$32,Data!$G40,0,"PI_SERVER","exact time"))</f>
        <v/>
      </c>
      <c r="X40" s="123" t="str">
        <f>IF(ISTEXT(_xll.PIArcVal(Data!X$32,Data!$G40,0,"PI_SERVER","exact time")),"",_xll.PIArcVal(Data!X$32,Data!$G40,0,"PI_SERVER","exact time"))</f>
        <v/>
      </c>
      <c r="Y40" s="123" t="str">
        <f>IF(ISTEXT(_xll.PIArcVal(Data!Y$32,Data!$G40,0,"PI_SERVER","exact time")),"",_xll.PIArcVal(Data!Y$32,Data!$G40,0,"PI_SERVER","exact time"))</f>
        <v/>
      </c>
      <c r="Z40" s="123" t="str">
        <f>IF(ISTEXT(_xll.PIArcVal(Data!Z$32,Data!$G40,0,"PI_SERVER","exact time")),"",_xll.PIArcVal(Data!Z$32,Data!$G40,0,"PI_SERVER","exact time"))</f>
        <v/>
      </c>
      <c r="AA40" s="123" t="str">
        <f>IF(ISTEXT(_xll.PIArcVal(Data!AA$32,Data!$G40,0,"PI_SERVER","exact time")),"",_xll.PIArcVal(Data!AA$32,Data!$G40,0,"PI_SERVER","exact time"))</f>
        <v/>
      </c>
      <c r="AB40" s="123" t="str">
        <f>IF(ISTEXT(_xll.PIArcVal(Data!AB$32,Data!$G40,0,"PI_SERVER","exact time")),"",_xll.PIArcVal(Data!AB$32,Data!$G40,0,"PI_SERVER","exact time"))</f>
        <v/>
      </c>
      <c r="AC40" s="123" t="str">
        <f>IF(ISTEXT(_xll.PIArcVal(Data!AC$32,Data!$G40,0,"PI_SERVER","exact time")),"",_xll.PIArcVal(Data!AC$32,Data!$G40,0,"PI_SERVER","exact time"))</f>
        <v/>
      </c>
      <c r="AD40" s="123" t="str">
        <f>IF(ISTEXT(_xll.PIArcVal(Data!AD$32,Data!$G40,0,"PI_SERVER","exact time")),"",_xll.PIArcVal(Data!AD$32,Data!$G40,0,"PI_SERVER","exact time"))</f>
        <v/>
      </c>
      <c r="AE40" s="123" t="str">
        <f>IF(ISTEXT(_xll.PIArcVal(Data!AE$32,Data!$G40,0,"PI_SERVER","exact time")),"",_xll.PIArcVal(Data!AE$32,Data!$G40,0,"PI_SERVER","exact time"))</f>
        <v/>
      </c>
      <c r="AF40" s="123" t="str">
        <f>IF(ISTEXT(_xll.PIArcVal(Data!AF$32,Data!$G40,0,"PI_SERVER","exact time")),"",_xll.PIArcVal(Data!AF$32,Data!$G40,0,"PI_SERVER","exact time"))</f>
        <v/>
      </c>
      <c r="AG40" s="123" t="str">
        <f>IF(ISTEXT(_xll.PIArcVal(Data!AG$32,Data!$G40,0,"PI_SERVER","exact time")),"",_xll.PIArcVal(Data!AG$32,Data!$G40,0,"PI_SERVER","exact time"))</f>
        <v/>
      </c>
      <c r="AH40" s="124" t="str">
        <f t="shared" si="50"/>
        <v/>
      </c>
      <c r="AI40" s="66" t="str">
        <f>IF(ISTEXT(_xll.PIArcVal(Data!AI$32,Data!$G40,0,"PI_SERVER","exact time")),"",_xll.PIArcVal(Data!AI$32,Data!$G40,0,"PI_SERVER","exact time"))</f>
        <v/>
      </c>
      <c r="AJ40" s="66" t="str">
        <f>IF(ISTEXT(_xll.PIArcVal(Data!AJ$32,Data!$G40,0,"PI_SERVER","exact time")),"",_xll.PIArcVal(Data!AJ$32,Data!$G40,0,"PI_SERVER","exact time"))</f>
        <v/>
      </c>
      <c r="AK40" s="66" t="str">
        <f>IF(ISTEXT(_xll.PIArcVal(Data!AK$32,Data!$G40,0,"PI_SERVER","exact time")),"",_xll.PIArcVal(Data!AK$32,Data!$G40,0,"PI_SERVER","exact time"))</f>
        <v/>
      </c>
      <c r="AL40" s="69">
        <f t="shared" si="55"/>
        <v>0</v>
      </c>
      <c r="AM40" s="18"/>
      <c r="AN40" s="18"/>
      <c r="AO40" s="18"/>
      <c r="AQ40" s="3">
        <f t="shared" si="14"/>
        <v>0</v>
      </c>
      <c r="AR40" s="19" t="s">
        <v>137</v>
      </c>
      <c r="AS40" s="9">
        <v>26</v>
      </c>
      <c r="AT40" s="17" t="str">
        <f t="shared" si="7"/>
        <v/>
      </c>
      <c r="AU40" s="89" t="s">
        <v>110</v>
      </c>
      <c r="AV40" s="20">
        <v>6</v>
      </c>
      <c r="AW40" s="75" t="str">
        <f t="shared" ref="AW40:BH40" si="62">IF(G85="","",G85)</f>
        <v/>
      </c>
      <c r="AX40" s="76" t="str">
        <f t="shared" si="62"/>
        <v/>
      </c>
      <c r="AY40" s="76" t="str">
        <f t="shared" si="62"/>
        <v/>
      </c>
      <c r="AZ40" s="76" t="str">
        <f t="shared" si="62"/>
        <v/>
      </c>
      <c r="BA40" s="76" t="str">
        <f t="shared" si="62"/>
        <v/>
      </c>
      <c r="BB40" s="76" t="str">
        <f t="shared" si="62"/>
        <v/>
      </c>
      <c r="BC40" s="76" t="str">
        <f t="shared" si="62"/>
        <v/>
      </c>
      <c r="BD40" s="76" t="str">
        <f t="shared" si="62"/>
        <v/>
      </c>
      <c r="BE40" s="76" t="str">
        <f t="shared" si="62"/>
        <v/>
      </c>
      <c r="BF40" s="76" t="str">
        <f t="shared" si="62"/>
        <v/>
      </c>
      <c r="BG40" s="76" t="str">
        <f t="shared" si="62"/>
        <v/>
      </c>
      <c r="BH40" s="76" t="str">
        <f t="shared" si="62"/>
        <v/>
      </c>
      <c r="BI40" s="76" t="str">
        <f t="shared" ref="BI40:BV40" si="63">IF(T85="","",T85)</f>
        <v/>
      </c>
      <c r="BJ40" s="76" t="str">
        <f t="shared" si="63"/>
        <v/>
      </c>
      <c r="BK40" s="76" t="str">
        <f t="shared" si="63"/>
        <v/>
      </c>
      <c r="BL40" s="76" t="str">
        <f t="shared" si="63"/>
        <v/>
      </c>
      <c r="BM40" s="76" t="str">
        <f t="shared" si="63"/>
        <v/>
      </c>
      <c r="BN40" s="76" t="str">
        <f t="shared" si="63"/>
        <v/>
      </c>
      <c r="BO40" s="76" t="str">
        <f t="shared" si="63"/>
        <v/>
      </c>
      <c r="BP40" s="76" t="str">
        <f t="shared" si="63"/>
        <v/>
      </c>
      <c r="BQ40" s="76" t="str">
        <f t="shared" si="63"/>
        <v/>
      </c>
      <c r="BR40" s="76" t="str">
        <f t="shared" si="63"/>
        <v/>
      </c>
      <c r="BS40" s="76" t="str">
        <f t="shared" si="63"/>
        <v/>
      </c>
      <c r="BT40" s="76" t="str">
        <f t="shared" si="63"/>
        <v/>
      </c>
      <c r="BU40" s="76" t="str">
        <f t="shared" si="63"/>
        <v/>
      </c>
      <c r="BV40" s="76" t="str">
        <f t="shared" si="63"/>
        <v/>
      </c>
      <c r="BW40" s="33" t="str">
        <f t="shared" si="48"/>
        <v/>
      </c>
      <c r="BX40" s="33" t="str">
        <f t="shared" si="49"/>
        <v/>
      </c>
    </row>
    <row r="41" spans="6:76" ht="20.25" x14ac:dyDescent="0.25">
      <c r="F41" s="3">
        <v>6</v>
      </c>
      <c r="G41" s="64"/>
      <c r="H41" s="65"/>
      <c r="I41" s="122" t="str">
        <f>IF(ISTEXT(_xll.PIArcVal(Data!I$32,Data!$G41,0,"PI_SERVER","exact time")),"",_xll.PIArcVal(Data!I$32,Data!$G41,0,"PI_SERVER","exact time"))</f>
        <v/>
      </c>
      <c r="J41" s="122" t="str">
        <f>IF(ISTEXT(_xll.PIArcVal(Data!J$32,Data!$G41,0,"PI_SERVER","exact time")),"",_xll.PIArcVal(Data!J$32,Data!$G41,0,"PI_SERVER","exact time"))</f>
        <v/>
      </c>
      <c r="K41" s="122" t="str">
        <f t="shared" si="53"/>
        <v/>
      </c>
      <c r="L41" s="122" t="str">
        <f>IF(ISTEXT(_xll.PIArcVal(Data!L$32,Data!$G41,0,"PI_SERVER","exact time")),"",_xll.PIArcVal(Data!L$32,Data!$G41,0,"PI_SERVER","exact time"))</f>
        <v/>
      </c>
      <c r="M41" s="122" t="str">
        <f>IF(ISTEXT(_xll.PIArcVal(Data!M$32,Data!$G41,0,"PI_SERVER","exact time")),"",_xll.PIArcVal(Data!M$32,Data!$G41,0,"PI_SERVER","exact time"))</f>
        <v/>
      </c>
      <c r="N41" s="122" t="str">
        <f t="shared" si="54"/>
        <v/>
      </c>
      <c r="O41" s="123" t="str">
        <f>IF(ISTEXT(_xll.PIArcVal(Data!O$32,Data!$G41,0,"PI_SERVER","exact time")),"",_xll.PIArcVal(Data!O$32,Data!$G41,0,"PI_SERVER","exact time"))</f>
        <v/>
      </c>
      <c r="P41" s="123" t="str">
        <f>IF(ISTEXT(_xll.PIArcVal(Data!P$32,Data!$G41,0,"PI_SERVER","exact time")),"",_xll.PIArcVal(Data!P$32,Data!$G41,0,"PI_SERVER","exact time"))</f>
        <v/>
      </c>
      <c r="Q41" s="123" t="str">
        <f>IF(ISTEXT(_xll.PIArcVal(Data!Q$32,Data!$G41,0,"PI_SERVER","exact time")),"",_xll.PIArcVal(Data!Q$32,Data!$G41,0,"PI_SERVER","exact time"))</f>
        <v/>
      </c>
      <c r="R41" s="123" t="str">
        <f>IF(ISTEXT(_xll.PIArcVal(Data!R$32,Data!$G41,0,"PI_SERVER","exact time")),"",_xll.PIArcVal(Data!R$32,Data!$G41,0,"PI_SERVER","exact time"))</f>
        <v/>
      </c>
      <c r="S41" s="123"/>
      <c r="T41" s="123" t="str">
        <f>IF(ISTEXT(_xll.PIArcVal(Data!T$32,Data!$G41,0,"PI_SERVER","exact time")),"",_xll.PIArcVal(Data!T$32,Data!$G41,0,"PI_SERVER","exact time"))</f>
        <v/>
      </c>
      <c r="U41" s="123" t="str">
        <f>IF(ISTEXT(_xll.PIArcVal(Data!U$32,Data!$G41,0,"PI_SERVER","exact time")),"",_xll.PIArcVal(Data!U$32,Data!$G41,0,"PI_SERVER","exact time"))</f>
        <v/>
      </c>
      <c r="V41" s="123" t="str">
        <f>IF(ISTEXT(_xll.PIArcVal(Data!V$32,Data!$G41,0,"PI_SERVER","exact time")),"",_xll.PIArcVal(Data!V$32,Data!$G41,0,"PI_SERVER","exact time"))</f>
        <v/>
      </c>
      <c r="W41" s="123" t="str">
        <f>IF(ISTEXT(_xll.PIArcVal(Data!W$32,Data!$G41,0,"PI_SERVER","exact time")),"",_xll.PIArcVal(Data!W$32,Data!$G41,0,"PI_SERVER","exact time"))</f>
        <v/>
      </c>
      <c r="X41" s="123" t="str">
        <f>IF(ISTEXT(_xll.PIArcVal(Data!X$32,Data!$G41,0,"PI_SERVER","exact time")),"",_xll.PIArcVal(Data!X$32,Data!$G41,0,"PI_SERVER","exact time"))</f>
        <v/>
      </c>
      <c r="Y41" s="123" t="str">
        <f>IF(ISTEXT(_xll.PIArcVal(Data!Y$32,Data!$G41,0,"PI_SERVER","exact time")),"",_xll.PIArcVal(Data!Y$32,Data!$G41,0,"PI_SERVER","exact time"))</f>
        <v/>
      </c>
      <c r="Z41" s="123" t="str">
        <f>IF(ISTEXT(_xll.PIArcVal(Data!Z$32,Data!$G41,0,"PI_SERVER","exact time")),"",_xll.PIArcVal(Data!Z$32,Data!$G41,0,"PI_SERVER","exact time"))</f>
        <v/>
      </c>
      <c r="AA41" s="123" t="str">
        <f>IF(ISTEXT(_xll.PIArcVal(Data!AA$32,Data!$G41,0,"PI_SERVER","exact time")),"",_xll.PIArcVal(Data!AA$32,Data!$G41,0,"PI_SERVER","exact time"))</f>
        <v/>
      </c>
      <c r="AB41" s="123" t="str">
        <f>IF(ISTEXT(_xll.PIArcVal(Data!AB$32,Data!$G41,0,"PI_SERVER","exact time")),"",_xll.PIArcVal(Data!AB$32,Data!$G41,0,"PI_SERVER","exact time"))</f>
        <v/>
      </c>
      <c r="AC41" s="123" t="str">
        <f>IF(ISTEXT(_xll.PIArcVal(Data!AC$32,Data!$G41,0,"PI_SERVER","exact time")),"",_xll.PIArcVal(Data!AC$32,Data!$G41,0,"PI_SERVER","exact time"))</f>
        <v/>
      </c>
      <c r="AD41" s="123" t="str">
        <f>IF(ISTEXT(_xll.PIArcVal(Data!AD$32,Data!$G41,0,"PI_SERVER","exact time")),"",_xll.PIArcVal(Data!AD$32,Data!$G41,0,"PI_SERVER","exact time"))</f>
        <v/>
      </c>
      <c r="AE41" s="123" t="str">
        <f>IF(ISTEXT(_xll.PIArcVal(Data!AE$32,Data!$G41,0,"PI_SERVER","exact time")),"",_xll.PIArcVal(Data!AE$32,Data!$G41,0,"PI_SERVER","exact time"))</f>
        <v/>
      </c>
      <c r="AF41" s="123" t="str">
        <f>IF(ISTEXT(_xll.PIArcVal(Data!AF$32,Data!$G41,0,"PI_SERVER","exact time")),"",_xll.PIArcVal(Data!AF$32,Data!$G41,0,"PI_SERVER","exact time"))</f>
        <v/>
      </c>
      <c r="AG41" s="123" t="str">
        <f>IF(ISTEXT(_xll.PIArcVal(Data!AG$32,Data!$G41,0,"PI_SERVER","exact time")),"",_xll.PIArcVal(Data!AG$32,Data!$G41,0,"PI_SERVER","exact time"))</f>
        <v/>
      </c>
      <c r="AH41" s="124" t="str">
        <f t="shared" si="50"/>
        <v/>
      </c>
      <c r="AI41" s="66" t="str">
        <f>IF(ISTEXT(_xll.PIArcVal(Data!AI$32,Data!$G41,0,"PI_SERVER","exact time")),"",_xll.PIArcVal(Data!AI$32,Data!$G41,0,"PI_SERVER","exact time"))</f>
        <v/>
      </c>
      <c r="AJ41" s="66" t="str">
        <f>IF(ISTEXT(_xll.PIArcVal(Data!AJ$32,Data!$G41,0,"PI_SERVER","exact time")),"",_xll.PIArcVal(Data!AJ$32,Data!$G41,0,"PI_SERVER","exact time"))</f>
        <v/>
      </c>
      <c r="AK41" s="66" t="str">
        <f>IF(ISTEXT(_xll.PIArcVal(Data!AK$32,Data!$G41,0,"PI_SERVER","exact time")),"",_xll.PIArcVal(Data!AK$32,Data!$G41,0,"PI_SERVER","exact time"))</f>
        <v/>
      </c>
      <c r="AL41" s="69">
        <f t="shared" si="55"/>
        <v>0</v>
      </c>
      <c r="AM41" s="18"/>
      <c r="AN41" s="18"/>
      <c r="AO41" s="18"/>
      <c r="AQ41" s="3">
        <f t="shared" si="14"/>
        <v>0</v>
      </c>
      <c r="AR41" s="19" t="s">
        <v>138</v>
      </c>
      <c r="AS41" s="9">
        <v>27</v>
      </c>
      <c r="AT41" s="17" t="str">
        <f t="shared" si="7"/>
        <v/>
      </c>
      <c r="AU41" s="89" t="s">
        <v>110</v>
      </c>
      <c r="AV41" s="20">
        <v>7</v>
      </c>
      <c r="AW41" s="75" t="str">
        <f t="shared" ref="AW41:BH41" si="64">IF(G86="","",G86)</f>
        <v/>
      </c>
      <c r="AX41" s="76" t="str">
        <f t="shared" si="64"/>
        <v/>
      </c>
      <c r="AY41" s="76" t="str">
        <f t="shared" si="64"/>
        <v/>
      </c>
      <c r="AZ41" s="76" t="str">
        <f t="shared" si="64"/>
        <v/>
      </c>
      <c r="BA41" s="76" t="str">
        <f t="shared" si="64"/>
        <v/>
      </c>
      <c r="BB41" s="76" t="str">
        <f t="shared" si="64"/>
        <v/>
      </c>
      <c r="BC41" s="76" t="str">
        <f t="shared" si="64"/>
        <v/>
      </c>
      <c r="BD41" s="76" t="str">
        <f t="shared" si="64"/>
        <v/>
      </c>
      <c r="BE41" s="76" t="str">
        <f t="shared" si="64"/>
        <v/>
      </c>
      <c r="BF41" s="76" t="str">
        <f t="shared" si="64"/>
        <v/>
      </c>
      <c r="BG41" s="76" t="str">
        <f t="shared" si="64"/>
        <v/>
      </c>
      <c r="BH41" s="76" t="str">
        <f t="shared" si="64"/>
        <v/>
      </c>
      <c r="BI41" s="76" t="str">
        <f t="shared" ref="BI41:BV41" si="65">IF(T86="","",T86)</f>
        <v/>
      </c>
      <c r="BJ41" s="76" t="str">
        <f t="shared" si="65"/>
        <v/>
      </c>
      <c r="BK41" s="76" t="str">
        <f t="shared" si="65"/>
        <v/>
      </c>
      <c r="BL41" s="76" t="str">
        <f t="shared" si="65"/>
        <v/>
      </c>
      <c r="BM41" s="76" t="str">
        <f t="shared" si="65"/>
        <v/>
      </c>
      <c r="BN41" s="76" t="str">
        <f t="shared" si="65"/>
        <v/>
      </c>
      <c r="BO41" s="76" t="str">
        <f t="shared" si="65"/>
        <v/>
      </c>
      <c r="BP41" s="76" t="str">
        <f t="shared" si="65"/>
        <v/>
      </c>
      <c r="BQ41" s="76" t="str">
        <f t="shared" si="65"/>
        <v/>
      </c>
      <c r="BR41" s="76" t="str">
        <f t="shared" si="65"/>
        <v/>
      </c>
      <c r="BS41" s="76" t="str">
        <f t="shared" si="65"/>
        <v/>
      </c>
      <c r="BT41" s="76" t="str">
        <f t="shared" si="65"/>
        <v/>
      </c>
      <c r="BU41" s="76" t="str">
        <f t="shared" si="65"/>
        <v/>
      </c>
      <c r="BV41" s="76" t="str">
        <f t="shared" si="65"/>
        <v/>
      </c>
      <c r="BW41" s="33" t="str">
        <f t="shared" si="48"/>
        <v/>
      </c>
      <c r="BX41" s="33" t="str">
        <f t="shared" si="49"/>
        <v/>
      </c>
    </row>
    <row r="42" spans="6:76" ht="20.25" x14ac:dyDescent="0.25">
      <c r="F42" s="3">
        <v>7</v>
      </c>
      <c r="G42" s="64"/>
      <c r="H42" s="65"/>
      <c r="I42" s="122" t="str">
        <f>IF(ISTEXT(_xll.PIArcVal(Data!I$32,Data!$G42,0,"PI_SERVER","exact time")),"",_xll.PIArcVal(Data!I$32,Data!$G42,0,"PI_SERVER","exact time"))</f>
        <v/>
      </c>
      <c r="J42" s="122" t="str">
        <f>IF(ISTEXT(_xll.PIArcVal(Data!J$32,Data!$G42,0,"PI_SERVER","exact time")),"",_xll.PIArcVal(Data!J$32,Data!$G42,0,"PI_SERVER","exact time"))</f>
        <v/>
      </c>
      <c r="K42" s="122" t="str">
        <f t="shared" si="53"/>
        <v/>
      </c>
      <c r="L42" s="122" t="str">
        <f>IF(ISTEXT(_xll.PIArcVal(Data!L$32,Data!$G42,0,"PI_SERVER","exact time")),"",_xll.PIArcVal(Data!L$32,Data!$G42,0,"PI_SERVER","exact time"))</f>
        <v/>
      </c>
      <c r="M42" s="122" t="str">
        <f>IF(ISTEXT(_xll.PIArcVal(Data!M$32,Data!$G42,0,"PI_SERVER","exact time")),"",_xll.PIArcVal(Data!M$32,Data!$G42,0,"PI_SERVER","exact time"))</f>
        <v/>
      </c>
      <c r="N42" s="122" t="str">
        <f t="shared" si="54"/>
        <v/>
      </c>
      <c r="O42" s="123" t="str">
        <f>IF(ISTEXT(_xll.PIArcVal(Data!O$32,Data!$G42,0,"PI_SERVER","exact time")),"",_xll.PIArcVal(Data!O$32,Data!$G42,0,"PI_SERVER","exact time"))</f>
        <v/>
      </c>
      <c r="P42" s="123" t="str">
        <f>IF(ISTEXT(_xll.PIArcVal(Data!P$32,Data!$G42,0,"PI_SERVER","exact time")),"",_xll.PIArcVal(Data!P$32,Data!$G42,0,"PI_SERVER","exact time"))</f>
        <v/>
      </c>
      <c r="Q42" s="123" t="str">
        <f>IF(ISTEXT(_xll.PIArcVal(Data!Q$32,Data!$G42,0,"PI_SERVER","exact time")),"",_xll.PIArcVal(Data!Q$32,Data!$G42,0,"PI_SERVER","exact time"))</f>
        <v/>
      </c>
      <c r="R42" s="123" t="str">
        <f>IF(ISTEXT(_xll.PIArcVal(Data!R$32,Data!$G42,0,"PI_SERVER","exact time")),"",_xll.PIArcVal(Data!R$32,Data!$G42,0,"PI_SERVER","exact time"))</f>
        <v/>
      </c>
      <c r="S42" s="123"/>
      <c r="T42" s="123" t="str">
        <f>IF(ISTEXT(_xll.PIArcVal(Data!T$32,Data!$G42,0,"PI_SERVER","exact time")),"",_xll.PIArcVal(Data!T$32,Data!$G42,0,"PI_SERVER","exact time"))</f>
        <v/>
      </c>
      <c r="U42" s="123" t="str">
        <f>IF(ISTEXT(_xll.PIArcVal(Data!U$32,Data!$G42,0,"PI_SERVER","exact time")),"",_xll.PIArcVal(Data!U$32,Data!$G42,0,"PI_SERVER","exact time"))</f>
        <v/>
      </c>
      <c r="V42" s="123" t="str">
        <f>IF(ISTEXT(_xll.PIArcVal(Data!V$32,Data!$G42,0,"PI_SERVER","exact time")),"",_xll.PIArcVal(Data!V$32,Data!$G42,0,"PI_SERVER","exact time"))</f>
        <v/>
      </c>
      <c r="W42" s="123" t="str">
        <f>IF(ISTEXT(_xll.PIArcVal(Data!W$32,Data!$G42,0,"PI_SERVER","exact time")),"",_xll.PIArcVal(Data!W$32,Data!$G42,0,"PI_SERVER","exact time"))</f>
        <v/>
      </c>
      <c r="X42" s="123" t="str">
        <f>IF(ISTEXT(_xll.PIArcVal(Data!X$32,Data!$G42,0,"PI_SERVER","exact time")),"",_xll.PIArcVal(Data!X$32,Data!$G42,0,"PI_SERVER","exact time"))</f>
        <v/>
      </c>
      <c r="Y42" s="123" t="str">
        <f>IF(ISTEXT(_xll.PIArcVal(Data!Y$32,Data!$G42,0,"PI_SERVER","exact time")),"",_xll.PIArcVal(Data!Y$32,Data!$G42,0,"PI_SERVER","exact time"))</f>
        <v/>
      </c>
      <c r="Z42" s="123" t="str">
        <f>IF(ISTEXT(_xll.PIArcVal(Data!Z$32,Data!$G42,0,"PI_SERVER","exact time")),"",_xll.PIArcVal(Data!Z$32,Data!$G42,0,"PI_SERVER","exact time"))</f>
        <v/>
      </c>
      <c r="AA42" s="123" t="str">
        <f>IF(ISTEXT(_xll.PIArcVal(Data!AA$32,Data!$G42,0,"PI_SERVER","exact time")),"",_xll.PIArcVal(Data!AA$32,Data!$G42,0,"PI_SERVER","exact time"))</f>
        <v/>
      </c>
      <c r="AB42" s="123" t="str">
        <f>IF(ISTEXT(_xll.PIArcVal(Data!AB$32,Data!$G42,0,"PI_SERVER","exact time")),"",_xll.PIArcVal(Data!AB$32,Data!$G42,0,"PI_SERVER","exact time"))</f>
        <v/>
      </c>
      <c r="AC42" s="123" t="str">
        <f>IF(ISTEXT(_xll.PIArcVal(Data!AC$32,Data!$G42,0,"PI_SERVER","exact time")),"",_xll.PIArcVal(Data!AC$32,Data!$G42,0,"PI_SERVER","exact time"))</f>
        <v/>
      </c>
      <c r="AD42" s="123" t="str">
        <f>IF(ISTEXT(_xll.PIArcVal(Data!AD$32,Data!$G42,0,"PI_SERVER","exact time")),"",_xll.PIArcVal(Data!AD$32,Data!$G42,0,"PI_SERVER","exact time"))</f>
        <v/>
      </c>
      <c r="AE42" s="123" t="str">
        <f>IF(ISTEXT(_xll.PIArcVal(Data!AE$32,Data!$G42,0,"PI_SERVER","exact time")),"",_xll.PIArcVal(Data!AE$32,Data!$G42,0,"PI_SERVER","exact time"))</f>
        <v/>
      </c>
      <c r="AF42" s="123" t="str">
        <f>IF(ISTEXT(_xll.PIArcVal(Data!AF$32,Data!$G42,0,"PI_SERVER","exact time")),"",_xll.PIArcVal(Data!AF$32,Data!$G42,0,"PI_SERVER","exact time"))</f>
        <v/>
      </c>
      <c r="AG42" s="123" t="str">
        <f>IF(ISTEXT(_xll.PIArcVal(Data!AG$32,Data!$G42,0,"PI_SERVER","exact time")),"",_xll.PIArcVal(Data!AG$32,Data!$G42,0,"PI_SERVER","exact time"))</f>
        <v/>
      </c>
      <c r="AH42" s="124" t="str">
        <f t="shared" si="50"/>
        <v/>
      </c>
      <c r="AI42" s="66" t="str">
        <f>IF(ISTEXT(_xll.PIArcVal(Data!AI$32,Data!$G42,0,"PI_SERVER","exact time")),"",_xll.PIArcVal(Data!AI$32,Data!$G42,0,"PI_SERVER","exact time"))</f>
        <v/>
      </c>
      <c r="AJ42" s="66" t="str">
        <f>IF(ISTEXT(_xll.PIArcVal(Data!AJ$32,Data!$G42,0,"PI_SERVER","exact time")),"",_xll.PIArcVal(Data!AJ$32,Data!$G42,0,"PI_SERVER","exact time"))</f>
        <v/>
      </c>
      <c r="AK42" s="66" t="str">
        <f>IF(ISTEXT(_xll.PIArcVal(Data!AK$32,Data!$G42,0,"PI_SERVER","exact time")),"",_xll.PIArcVal(Data!AK$32,Data!$G42,0,"PI_SERVER","exact time"))</f>
        <v/>
      </c>
      <c r="AL42" s="69">
        <f t="shared" si="55"/>
        <v>0</v>
      </c>
      <c r="AM42" s="18"/>
      <c r="AN42" s="18"/>
      <c r="AO42" s="18"/>
      <c r="AQ42" s="3">
        <f t="shared" si="14"/>
        <v>0</v>
      </c>
      <c r="AR42" s="19" t="s">
        <v>139</v>
      </c>
      <c r="AS42" s="9">
        <v>28</v>
      </c>
      <c r="AT42" s="17" t="str">
        <f t="shared" si="7"/>
        <v/>
      </c>
      <c r="AU42" s="89" t="s">
        <v>110</v>
      </c>
      <c r="AV42" s="20">
        <v>8</v>
      </c>
      <c r="AW42" s="75" t="str">
        <f t="shared" ref="AW42:BH42" si="66">IF(G87="","",G87)</f>
        <v/>
      </c>
      <c r="AX42" s="76" t="str">
        <f t="shared" si="66"/>
        <v/>
      </c>
      <c r="AY42" s="76" t="str">
        <f t="shared" si="66"/>
        <v/>
      </c>
      <c r="AZ42" s="76" t="str">
        <f t="shared" si="66"/>
        <v/>
      </c>
      <c r="BA42" s="76" t="str">
        <f t="shared" si="66"/>
        <v/>
      </c>
      <c r="BB42" s="76" t="str">
        <f t="shared" si="66"/>
        <v/>
      </c>
      <c r="BC42" s="76" t="str">
        <f t="shared" si="66"/>
        <v/>
      </c>
      <c r="BD42" s="76" t="str">
        <f t="shared" si="66"/>
        <v/>
      </c>
      <c r="BE42" s="76" t="str">
        <f t="shared" si="66"/>
        <v/>
      </c>
      <c r="BF42" s="76" t="str">
        <f t="shared" si="66"/>
        <v/>
      </c>
      <c r="BG42" s="76" t="str">
        <f t="shared" si="66"/>
        <v/>
      </c>
      <c r="BH42" s="76" t="str">
        <f t="shared" si="66"/>
        <v/>
      </c>
      <c r="BI42" s="76" t="str">
        <f t="shared" ref="BI42:BV42" si="67">IF(T87="","",T87)</f>
        <v/>
      </c>
      <c r="BJ42" s="76" t="str">
        <f t="shared" si="67"/>
        <v/>
      </c>
      <c r="BK42" s="76" t="str">
        <f t="shared" si="67"/>
        <v/>
      </c>
      <c r="BL42" s="76" t="str">
        <f t="shared" si="67"/>
        <v/>
      </c>
      <c r="BM42" s="76" t="str">
        <f t="shared" si="67"/>
        <v/>
      </c>
      <c r="BN42" s="76" t="str">
        <f t="shared" si="67"/>
        <v/>
      </c>
      <c r="BO42" s="76" t="str">
        <f t="shared" si="67"/>
        <v/>
      </c>
      <c r="BP42" s="76" t="str">
        <f t="shared" si="67"/>
        <v/>
      </c>
      <c r="BQ42" s="76" t="str">
        <f t="shared" si="67"/>
        <v/>
      </c>
      <c r="BR42" s="76" t="str">
        <f t="shared" si="67"/>
        <v/>
      </c>
      <c r="BS42" s="76" t="str">
        <f t="shared" si="67"/>
        <v/>
      </c>
      <c r="BT42" s="76" t="str">
        <f t="shared" si="67"/>
        <v/>
      </c>
      <c r="BU42" s="76" t="str">
        <f t="shared" si="67"/>
        <v/>
      </c>
      <c r="BV42" s="76" t="str">
        <f t="shared" si="67"/>
        <v/>
      </c>
      <c r="BW42" s="33" t="str">
        <f t="shared" si="48"/>
        <v/>
      </c>
      <c r="BX42" s="33" t="str">
        <f t="shared" si="49"/>
        <v/>
      </c>
    </row>
    <row r="43" spans="6:76" ht="20.25" x14ac:dyDescent="0.25">
      <c r="F43" s="3">
        <v>8</v>
      </c>
      <c r="G43" s="64"/>
      <c r="H43" s="65"/>
      <c r="I43" s="122" t="str">
        <f>IF(ISTEXT(_xll.PIArcVal(Data!I$32,Data!$G43,0,"PI_SERVER","exact time")),"",_xll.PIArcVal(Data!I$32,Data!$G43,0,"PI_SERVER","exact time"))</f>
        <v/>
      </c>
      <c r="J43" s="122" t="str">
        <f>IF(ISTEXT(_xll.PIArcVal(Data!J$32,Data!$G43,0,"PI_SERVER","exact time")),"",_xll.PIArcVal(Data!J$32,Data!$G43,0,"PI_SERVER","exact time"))</f>
        <v/>
      </c>
      <c r="K43" s="122" t="str">
        <f t="shared" si="53"/>
        <v/>
      </c>
      <c r="L43" s="122" t="str">
        <f>IF(ISTEXT(_xll.PIArcVal(Data!L$32,Data!$G43,0,"PI_SERVER","exact time")),"",_xll.PIArcVal(Data!L$32,Data!$G43,0,"PI_SERVER","exact time"))</f>
        <v/>
      </c>
      <c r="M43" s="122" t="str">
        <f>IF(ISTEXT(_xll.PIArcVal(Data!M$32,Data!$G43,0,"PI_SERVER","exact time")),"",_xll.PIArcVal(Data!M$32,Data!$G43,0,"PI_SERVER","exact time"))</f>
        <v/>
      </c>
      <c r="N43" s="122" t="str">
        <f t="shared" si="54"/>
        <v/>
      </c>
      <c r="O43" s="123" t="str">
        <f>IF(ISTEXT(_xll.PIArcVal(Data!O$32,Data!$G43,0,"PI_SERVER","exact time")),"",_xll.PIArcVal(Data!O$32,Data!$G43,0,"PI_SERVER","exact time"))</f>
        <v/>
      </c>
      <c r="P43" s="123" t="str">
        <f>IF(ISTEXT(_xll.PIArcVal(Data!P$32,Data!$G43,0,"PI_SERVER","exact time")),"",_xll.PIArcVal(Data!P$32,Data!$G43,0,"PI_SERVER","exact time"))</f>
        <v/>
      </c>
      <c r="Q43" s="123" t="str">
        <f>IF(ISTEXT(_xll.PIArcVal(Data!Q$32,Data!$G43,0,"PI_SERVER","exact time")),"",_xll.PIArcVal(Data!Q$32,Data!$G43,0,"PI_SERVER","exact time"))</f>
        <v/>
      </c>
      <c r="R43" s="123" t="str">
        <f>IF(ISTEXT(_xll.PIArcVal(Data!R$32,Data!$G43,0,"PI_SERVER","exact time")),"",_xll.PIArcVal(Data!R$32,Data!$G43,0,"PI_SERVER","exact time"))</f>
        <v/>
      </c>
      <c r="S43" s="123"/>
      <c r="T43" s="123" t="str">
        <f>IF(ISTEXT(_xll.PIArcVal(Data!T$32,Data!$G43,0,"PI_SERVER","exact time")),"",_xll.PIArcVal(Data!T$32,Data!$G43,0,"PI_SERVER","exact time"))</f>
        <v/>
      </c>
      <c r="U43" s="123" t="str">
        <f>IF(ISTEXT(_xll.PIArcVal(Data!U$32,Data!$G43,0,"PI_SERVER","exact time")),"",_xll.PIArcVal(Data!U$32,Data!$G43,0,"PI_SERVER","exact time"))</f>
        <v/>
      </c>
      <c r="V43" s="123" t="str">
        <f>IF(ISTEXT(_xll.PIArcVal(Data!V$32,Data!$G43,0,"PI_SERVER","exact time")),"",_xll.PIArcVal(Data!V$32,Data!$G43,0,"PI_SERVER","exact time"))</f>
        <v/>
      </c>
      <c r="W43" s="123" t="str">
        <f>IF(ISTEXT(_xll.PIArcVal(Data!W$32,Data!$G43,0,"PI_SERVER","exact time")),"",_xll.PIArcVal(Data!W$32,Data!$G43,0,"PI_SERVER","exact time"))</f>
        <v/>
      </c>
      <c r="X43" s="123" t="str">
        <f>IF(ISTEXT(_xll.PIArcVal(Data!X$32,Data!$G43,0,"PI_SERVER","exact time")),"",_xll.PIArcVal(Data!X$32,Data!$G43,0,"PI_SERVER","exact time"))</f>
        <v/>
      </c>
      <c r="Y43" s="123" t="str">
        <f>IF(ISTEXT(_xll.PIArcVal(Data!Y$32,Data!$G43,0,"PI_SERVER","exact time")),"",_xll.PIArcVal(Data!Y$32,Data!$G43,0,"PI_SERVER","exact time"))</f>
        <v/>
      </c>
      <c r="Z43" s="123" t="str">
        <f>IF(ISTEXT(_xll.PIArcVal(Data!Z$32,Data!$G43,0,"PI_SERVER","exact time")),"",_xll.PIArcVal(Data!Z$32,Data!$G43,0,"PI_SERVER","exact time"))</f>
        <v/>
      </c>
      <c r="AA43" s="123" t="str">
        <f>IF(ISTEXT(_xll.PIArcVal(Data!AA$32,Data!$G43,0,"PI_SERVER","exact time")),"",_xll.PIArcVal(Data!AA$32,Data!$G43,0,"PI_SERVER","exact time"))</f>
        <v/>
      </c>
      <c r="AB43" s="123" t="str">
        <f>IF(ISTEXT(_xll.PIArcVal(Data!AB$32,Data!$G43,0,"PI_SERVER","exact time")),"",_xll.PIArcVal(Data!AB$32,Data!$G43,0,"PI_SERVER","exact time"))</f>
        <v/>
      </c>
      <c r="AC43" s="123" t="str">
        <f>IF(ISTEXT(_xll.PIArcVal(Data!AC$32,Data!$G43,0,"PI_SERVER","exact time")),"",_xll.PIArcVal(Data!AC$32,Data!$G43,0,"PI_SERVER","exact time"))</f>
        <v/>
      </c>
      <c r="AD43" s="123" t="str">
        <f>IF(ISTEXT(_xll.PIArcVal(Data!AD$32,Data!$G43,0,"PI_SERVER","exact time")),"",_xll.PIArcVal(Data!AD$32,Data!$G43,0,"PI_SERVER","exact time"))</f>
        <v/>
      </c>
      <c r="AE43" s="123" t="str">
        <f>IF(ISTEXT(_xll.PIArcVal(Data!AE$32,Data!$G43,0,"PI_SERVER","exact time")),"",_xll.PIArcVal(Data!AE$32,Data!$G43,0,"PI_SERVER","exact time"))</f>
        <v/>
      </c>
      <c r="AF43" s="123" t="str">
        <f>IF(ISTEXT(_xll.PIArcVal(Data!AF$32,Data!$G43,0,"PI_SERVER","exact time")),"",_xll.PIArcVal(Data!AF$32,Data!$G43,0,"PI_SERVER","exact time"))</f>
        <v/>
      </c>
      <c r="AG43" s="123" t="str">
        <f>IF(ISTEXT(_xll.PIArcVal(Data!AG$32,Data!$G43,0,"PI_SERVER","exact time")),"",_xll.PIArcVal(Data!AG$32,Data!$G43,0,"PI_SERVER","exact time"))</f>
        <v/>
      </c>
      <c r="AH43" s="124" t="str">
        <f t="shared" si="50"/>
        <v/>
      </c>
      <c r="AI43" s="66" t="str">
        <f>IF(ISTEXT(_xll.PIArcVal(Data!AI$32,Data!$G43,0,"PI_SERVER","exact time")),"",_xll.PIArcVal(Data!AI$32,Data!$G43,0,"PI_SERVER","exact time"))</f>
        <v/>
      </c>
      <c r="AJ43" s="66" t="str">
        <f>IF(ISTEXT(_xll.PIArcVal(Data!AJ$32,Data!$G43,0,"PI_SERVER","exact time")),"",_xll.PIArcVal(Data!AJ$32,Data!$G43,0,"PI_SERVER","exact time"))</f>
        <v/>
      </c>
      <c r="AK43" s="66" t="str">
        <f>IF(ISTEXT(_xll.PIArcVal(Data!AK$32,Data!$G43,0,"PI_SERVER","exact time")),"",_xll.PIArcVal(Data!AK$32,Data!$G43,0,"PI_SERVER","exact time"))</f>
        <v/>
      </c>
      <c r="AL43" s="69">
        <f t="shared" si="55"/>
        <v>0</v>
      </c>
      <c r="AM43" s="18"/>
      <c r="AN43" s="18"/>
      <c r="AO43" s="18"/>
      <c r="AQ43" s="3">
        <f t="shared" si="14"/>
        <v>0</v>
      </c>
      <c r="AR43" s="19" t="s">
        <v>140</v>
      </c>
      <c r="AS43" s="9">
        <v>29</v>
      </c>
      <c r="AT43" s="17" t="str">
        <f t="shared" si="7"/>
        <v/>
      </c>
      <c r="AU43" s="89" t="s">
        <v>110</v>
      </c>
      <c r="AV43" s="20">
        <v>9</v>
      </c>
      <c r="AW43" s="75" t="str">
        <f t="shared" ref="AW43:BH43" si="68">IF(G88="","",G88)</f>
        <v/>
      </c>
      <c r="AX43" s="76" t="str">
        <f t="shared" si="68"/>
        <v/>
      </c>
      <c r="AY43" s="76" t="str">
        <f t="shared" si="68"/>
        <v/>
      </c>
      <c r="AZ43" s="76" t="str">
        <f t="shared" si="68"/>
        <v/>
      </c>
      <c r="BA43" s="76" t="str">
        <f t="shared" si="68"/>
        <v/>
      </c>
      <c r="BB43" s="76" t="str">
        <f t="shared" si="68"/>
        <v/>
      </c>
      <c r="BC43" s="76" t="str">
        <f t="shared" si="68"/>
        <v/>
      </c>
      <c r="BD43" s="76" t="str">
        <f t="shared" si="68"/>
        <v/>
      </c>
      <c r="BE43" s="76" t="str">
        <f t="shared" si="68"/>
        <v/>
      </c>
      <c r="BF43" s="76" t="str">
        <f t="shared" si="68"/>
        <v/>
      </c>
      <c r="BG43" s="76" t="str">
        <f t="shared" si="68"/>
        <v/>
      </c>
      <c r="BH43" s="76" t="str">
        <f t="shared" si="68"/>
        <v/>
      </c>
      <c r="BI43" s="76" t="str">
        <f t="shared" ref="BI43:BV43" si="69">IF(T88="","",T88)</f>
        <v/>
      </c>
      <c r="BJ43" s="76" t="str">
        <f t="shared" si="69"/>
        <v/>
      </c>
      <c r="BK43" s="76" t="str">
        <f t="shared" si="69"/>
        <v/>
      </c>
      <c r="BL43" s="76" t="str">
        <f t="shared" si="69"/>
        <v/>
      </c>
      <c r="BM43" s="76" t="str">
        <f t="shared" si="69"/>
        <v/>
      </c>
      <c r="BN43" s="76" t="str">
        <f t="shared" si="69"/>
        <v/>
      </c>
      <c r="BO43" s="76" t="str">
        <f t="shared" si="69"/>
        <v/>
      </c>
      <c r="BP43" s="76" t="str">
        <f t="shared" si="69"/>
        <v/>
      </c>
      <c r="BQ43" s="76" t="str">
        <f t="shared" si="69"/>
        <v/>
      </c>
      <c r="BR43" s="76" t="str">
        <f t="shared" si="69"/>
        <v/>
      </c>
      <c r="BS43" s="76" t="str">
        <f t="shared" si="69"/>
        <v/>
      </c>
      <c r="BT43" s="76" t="str">
        <f t="shared" si="69"/>
        <v/>
      </c>
      <c r="BU43" s="76" t="str">
        <f t="shared" si="69"/>
        <v/>
      </c>
      <c r="BV43" s="76" t="str">
        <f t="shared" si="69"/>
        <v/>
      </c>
      <c r="BW43" s="33" t="str">
        <f t="shared" si="48"/>
        <v/>
      </c>
      <c r="BX43" s="33" t="str">
        <f t="shared" si="49"/>
        <v/>
      </c>
    </row>
    <row r="44" spans="6:76" ht="20.25" x14ac:dyDescent="0.25">
      <c r="F44" s="3">
        <v>9</v>
      </c>
      <c r="G44" s="64"/>
      <c r="H44" s="65"/>
      <c r="I44" s="122" t="str">
        <f>IF(ISTEXT(_xll.PIArcVal(Data!I$32,Data!$G44,0,"PI_SERVER","exact time")),"",_xll.PIArcVal(Data!I$32,Data!$G44,0,"PI_SERVER","exact time"))</f>
        <v/>
      </c>
      <c r="J44" s="122" t="str">
        <f>IF(ISTEXT(_xll.PIArcVal(Data!J$32,Data!$G44,0,"PI_SERVER","exact time")),"",_xll.PIArcVal(Data!J$32,Data!$G44,0,"PI_SERVER","exact time"))</f>
        <v/>
      </c>
      <c r="K44" s="122" t="str">
        <f t="shared" si="53"/>
        <v/>
      </c>
      <c r="L44" s="122" t="str">
        <f>IF(ISTEXT(_xll.PIArcVal(Data!L$32,Data!$G44,0,"PI_SERVER","exact time")),"",_xll.PIArcVal(Data!L$32,Data!$G44,0,"PI_SERVER","exact time"))</f>
        <v/>
      </c>
      <c r="M44" s="122" t="str">
        <f>IF(ISTEXT(_xll.PIArcVal(Data!M$32,Data!$G44,0,"PI_SERVER","exact time")),"",_xll.PIArcVal(Data!M$32,Data!$G44,0,"PI_SERVER","exact time"))</f>
        <v/>
      </c>
      <c r="N44" s="122" t="str">
        <f t="shared" si="54"/>
        <v/>
      </c>
      <c r="O44" s="123" t="str">
        <f>IF(ISTEXT(_xll.PIArcVal(Data!O$32,Data!$G44,0,"PI_SERVER","exact time")),"",_xll.PIArcVal(Data!O$32,Data!$G44,0,"PI_SERVER","exact time"))</f>
        <v/>
      </c>
      <c r="P44" s="123" t="str">
        <f>IF(ISTEXT(_xll.PIArcVal(Data!P$32,Data!$G44,0,"PI_SERVER","exact time")),"",_xll.PIArcVal(Data!P$32,Data!$G44,0,"PI_SERVER","exact time"))</f>
        <v/>
      </c>
      <c r="Q44" s="123" t="str">
        <f>IF(ISTEXT(_xll.PIArcVal(Data!Q$32,Data!$G44,0,"PI_SERVER","exact time")),"",_xll.PIArcVal(Data!Q$32,Data!$G44,0,"PI_SERVER","exact time"))</f>
        <v/>
      </c>
      <c r="R44" s="123" t="str">
        <f>IF(ISTEXT(_xll.PIArcVal(Data!R$32,Data!$G44,0,"PI_SERVER","exact time")),"",_xll.PIArcVal(Data!R$32,Data!$G44,0,"PI_SERVER","exact time"))</f>
        <v/>
      </c>
      <c r="S44" s="123"/>
      <c r="T44" s="123" t="str">
        <f>IF(ISTEXT(_xll.PIArcVal(Data!T$32,Data!$G44,0,"PI_SERVER","exact time")),"",_xll.PIArcVal(Data!T$32,Data!$G44,0,"PI_SERVER","exact time"))</f>
        <v/>
      </c>
      <c r="U44" s="123" t="str">
        <f>IF(ISTEXT(_xll.PIArcVal(Data!U$32,Data!$G44,0,"PI_SERVER","exact time")),"",_xll.PIArcVal(Data!U$32,Data!$G44,0,"PI_SERVER","exact time"))</f>
        <v/>
      </c>
      <c r="V44" s="123" t="str">
        <f>IF(ISTEXT(_xll.PIArcVal(Data!V$32,Data!$G44,0,"PI_SERVER","exact time")),"",_xll.PIArcVal(Data!V$32,Data!$G44,0,"PI_SERVER","exact time"))</f>
        <v/>
      </c>
      <c r="W44" s="123" t="str">
        <f>IF(ISTEXT(_xll.PIArcVal(Data!W$32,Data!$G44,0,"PI_SERVER","exact time")),"",_xll.PIArcVal(Data!W$32,Data!$G44,0,"PI_SERVER","exact time"))</f>
        <v/>
      </c>
      <c r="X44" s="123" t="str">
        <f>IF(ISTEXT(_xll.PIArcVal(Data!X$32,Data!$G44,0,"PI_SERVER","exact time")),"",_xll.PIArcVal(Data!X$32,Data!$G44,0,"PI_SERVER","exact time"))</f>
        <v/>
      </c>
      <c r="Y44" s="123" t="str">
        <f>IF(ISTEXT(_xll.PIArcVal(Data!Y$32,Data!$G44,0,"PI_SERVER","exact time")),"",_xll.PIArcVal(Data!Y$32,Data!$G44,0,"PI_SERVER","exact time"))</f>
        <v/>
      </c>
      <c r="Z44" s="123" t="str">
        <f>IF(ISTEXT(_xll.PIArcVal(Data!Z$32,Data!$G44,0,"PI_SERVER","exact time")),"",_xll.PIArcVal(Data!Z$32,Data!$G44,0,"PI_SERVER","exact time"))</f>
        <v/>
      </c>
      <c r="AA44" s="123" t="str">
        <f>IF(ISTEXT(_xll.PIArcVal(Data!AA$32,Data!$G44,0,"PI_SERVER","exact time")),"",_xll.PIArcVal(Data!AA$32,Data!$G44,0,"PI_SERVER","exact time"))</f>
        <v/>
      </c>
      <c r="AB44" s="123" t="str">
        <f>IF(ISTEXT(_xll.PIArcVal(Data!AB$32,Data!$G44,0,"PI_SERVER","exact time")),"",_xll.PIArcVal(Data!AB$32,Data!$G44,0,"PI_SERVER","exact time"))</f>
        <v/>
      </c>
      <c r="AC44" s="123" t="str">
        <f>IF(ISTEXT(_xll.PIArcVal(Data!AC$32,Data!$G44,0,"PI_SERVER","exact time")),"",_xll.PIArcVal(Data!AC$32,Data!$G44,0,"PI_SERVER","exact time"))</f>
        <v/>
      </c>
      <c r="AD44" s="123" t="str">
        <f>IF(ISTEXT(_xll.PIArcVal(Data!AD$32,Data!$G44,0,"PI_SERVER","exact time")),"",_xll.PIArcVal(Data!AD$32,Data!$G44,0,"PI_SERVER","exact time"))</f>
        <v/>
      </c>
      <c r="AE44" s="123" t="str">
        <f>IF(ISTEXT(_xll.PIArcVal(Data!AE$32,Data!$G44,0,"PI_SERVER","exact time")),"",_xll.PIArcVal(Data!AE$32,Data!$G44,0,"PI_SERVER","exact time"))</f>
        <v/>
      </c>
      <c r="AF44" s="123" t="str">
        <f>IF(ISTEXT(_xll.PIArcVal(Data!AF$32,Data!$G44,0,"PI_SERVER","exact time")),"",_xll.PIArcVal(Data!AF$32,Data!$G44,0,"PI_SERVER","exact time"))</f>
        <v/>
      </c>
      <c r="AG44" s="123" t="str">
        <f>IF(ISTEXT(_xll.PIArcVal(Data!AG$32,Data!$G44,0,"PI_SERVER","exact time")),"",_xll.PIArcVal(Data!AG$32,Data!$G44,0,"PI_SERVER","exact time"))</f>
        <v/>
      </c>
      <c r="AH44" s="124" t="str">
        <f t="shared" si="50"/>
        <v/>
      </c>
      <c r="AI44" s="66" t="str">
        <f>IF(ISTEXT(_xll.PIArcVal(Data!AI$32,Data!$G44,0,"PI_SERVER","exact time")),"",_xll.PIArcVal(Data!AI$32,Data!$G44,0,"PI_SERVER","exact time"))</f>
        <v/>
      </c>
      <c r="AJ44" s="66" t="str">
        <f>IF(ISTEXT(_xll.PIArcVal(Data!AJ$32,Data!$G44,0,"PI_SERVER","exact time")),"",_xll.PIArcVal(Data!AJ$32,Data!$G44,0,"PI_SERVER","exact time"))</f>
        <v/>
      </c>
      <c r="AK44" s="66" t="str">
        <f>IF(ISTEXT(_xll.PIArcVal(Data!AK$32,Data!$G44,0,"PI_SERVER","exact time")),"",_xll.PIArcVal(Data!AK$32,Data!$G44,0,"PI_SERVER","exact time"))</f>
        <v/>
      </c>
      <c r="AL44" s="69">
        <f t="shared" si="55"/>
        <v>0</v>
      </c>
      <c r="AM44" s="18"/>
      <c r="AN44" s="18"/>
      <c r="AO44" s="18"/>
      <c r="AQ44" s="3">
        <f t="shared" si="14"/>
        <v>0</v>
      </c>
      <c r="AR44" s="19" t="s">
        <v>141</v>
      </c>
      <c r="AS44" s="9">
        <v>30</v>
      </c>
      <c r="AT44" s="17" t="str">
        <f t="shared" si="7"/>
        <v/>
      </c>
      <c r="AU44" s="89" t="s">
        <v>110</v>
      </c>
      <c r="AV44" s="20">
        <v>10</v>
      </c>
      <c r="AW44" s="77" t="str">
        <f t="shared" ref="AW44:BH44" si="70">IF(G89="","",G89)</f>
        <v/>
      </c>
      <c r="AX44" s="78" t="str">
        <f t="shared" si="70"/>
        <v/>
      </c>
      <c r="AY44" s="78" t="str">
        <f t="shared" si="70"/>
        <v/>
      </c>
      <c r="AZ44" s="78" t="str">
        <f t="shared" si="70"/>
        <v/>
      </c>
      <c r="BA44" s="78" t="str">
        <f t="shared" si="70"/>
        <v/>
      </c>
      <c r="BB44" s="78" t="str">
        <f t="shared" si="70"/>
        <v/>
      </c>
      <c r="BC44" s="78" t="str">
        <f t="shared" si="70"/>
        <v/>
      </c>
      <c r="BD44" s="78" t="str">
        <f t="shared" si="70"/>
        <v/>
      </c>
      <c r="BE44" s="78" t="str">
        <f t="shared" si="70"/>
        <v/>
      </c>
      <c r="BF44" s="78" t="str">
        <f t="shared" si="70"/>
        <v/>
      </c>
      <c r="BG44" s="78" t="str">
        <f t="shared" si="70"/>
        <v/>
      </c>
      <c r="BH44" s="78" t="str">
        <f t="shared" si="70"/>
        <v/>
      </c>
      <c r="BI44" s="78" t="str">
        <f t="shared" ref="BI44:BV44" si="71">IF(T89="","",T89)</f>
        <v/>
      </c>
      <c r="BJ44" s="78" t="str">
        <f t="shared" si="71"/>
        <v/>
      </c>
      <c r="BK44" s="78" t="str">
        <f t="shared" si="71"/>
        <v/>
      </c>
      <c r="BL44" s="78" t="str">
        <f t="shared" si="71"/>
        <v/>
      </c>
      <c r="BM44" s="78" t="str">
        <f t="shared" si="71"/>
        <v/>
      </c>
      <c r="BN44" s="78" t="str">
        <f t="shared" si="71"/>
        <v/>
      </c>
      <c r="BO44" s="78" t="str">
        <f t="shared" si="71"/>
        <v/>
      </c>
      <c r="BP44" s="78" t="str">
        <f t="shared" si="71"/>
        <v/>
      </c>
      <c r="BQ44" s="78" t="str">
        <f t="shared" si="71"/>
        <v/>
      </c>
      <c r="BR44" s="78" t="str">
        <f t="shared" si="71"/>
        <v/>
      </c>
      <c r="BS44" s="78" t="str">
        <f t="shared" si="71"/>
        <v/>
      </c>
      <c r="BT44" s="78" t="str">
        <f t="shared" si="71"/>
        <v/>
      </c>
      <c r="BU44" s="78" t="str">
        <f t="shared" si="71"/>
        <v/>
      </c>
      <c r="BV44" s="78" t="str">
        <f t="shared" si="71"/>
        <v/>
      </c>
      <c r="BW44" s="34" t="str">
        <f t="shared" si="48"/>
        <v/>
      </c>
      <c r="BX44" s="34" t="str">
        <f t="shared" si="49"/>
        <v/>
      </c>
    </row>
    <row r="45" spans="6:76" ht="20.25" x14ac:dyDescent="0.25">
      <c r="F45" s="3">
        <v>10</v>
      </c>
      <c r="G45" s="64"/>
      <c r="H45" s="65"/>
      <c r="I45" s="122" t="str">
        <f>IF(ISTEXT(_xll.PIArcVal(Data!I$32,Data!$G45,0,"PI_SERVER","exact time")),"",_xll.PIArcVal(Data!I$32,Data!$G45,0,"PI_SERVER","exact time"))</f>
        <v/>
      </c>
      <c r="J45" s="122" t="str">
        <f>IF(ISTEXT(_xll.PIArcVal(Data!J$32,Data!$G45,0,"PI_SERVER","exact time")),"",_xll.PIArcVal(Data!J$32,Data!$G45,0,"PI_SERVER","exact time"))</f>
        <v/>
      </c>
      <c r="K45" s="122" t="str">
        <f t="shared" si="53"/>
        <v/>
      </c>
      <c r="L45" s="122" t="str">
        <f>IF(ISTEXT(_xll.PIArcVal(Data!L$32,Data!$G45,0,"PI_SERVER","exact time")),"",_xll.PIArcVal(Data!L$32,Data!$G45,0,"PI_SERVER","exact time"))</f>
        <v/>
      </c>
      <c r="M45" s="122" t="str">
        <f>IF(ISTEXT(_xll.PIArcVal(Data!M$32,Data!$G45,0,"PI_SERVER","exact time")),"",_xll.PIArcVal(Data!M$32,Data!$G45,0,"PI_SERVER","exact time"))</f>
        <v/>
      </c>
      <c r="N45" s="122" t="str">
        <f t="shared" si="54"/>
        <v/>
      </c>
      <c r="O45" s="123" t="str">
        <f>IF(ISTEXT(_xll.PIArcVal(Data!O$32,Data!$G45,0,"PI_SERVER","exact time")),"",_xll.PIArcVal(Data!O$32,Data!$G45,0,"PI_SERVER","exact time"))</f>
        <v/>
      </c>
      <c r="P45" s="123" t="str">
        <f>IF(ISTEXT(_xll.PIArcVal(Data!P$32,Data!$G45,0,"PI_SERVER","exact time")),"",_xll.PIArcVal(Data!P$32,Data!$G45,0,"PI_SERVER","exact time"))</f>
        <v/>
      </c>
      <c r="Q45" s="123" t="str">
        <f>IF(ISTEXT(_xll.PIArcVal(Data!Q$32,Data!$G45,0,"PI_SERVER","exact time")),"",_xll.PIArcVal(Data!Q$32,Data!$G45,0,"PI_SERVER","exact time"))</f>
        <v/>
      </c>
      <c r="R45" s="123" t="str">
        <f>IF(ISTEXT(_xll.PIArcVal(Data!R$32,Data!$G45,0,"PI_SERVER","exact time")),"",_xll.PIArcVal(Data!R$32,Data!$G45,0,"PI_SERVER","exact time"))</f>
        <v/>
      </c>
      <c r="S45" s="123"/>
      <c r="T45" s="123" t="str">
        <f>IF(ISTEXT(_xll.PIArcVal(Data!T$32,Data!$G45,0,"PI_SERVER","exact time")),"",_xll.PIArcVal(Data!T$32,Data!$G45,0,"PI_SERVER","exact time"))</f>
        <v/>
      </c>
      <c r="U45" s="123" t="str">
        <f>IF(ISTEXT(_xll.PIArcVal(Data!U$32,Data!$G45,0,"PI_SERVER","exact time")),"",_xll.PIArcVal(Data!U$32,Data!$G45,0,"PI_SERVER","exact time"))</f>
        <v/>
      </c>
      <c r="V45" s="123" t="str">
        <f>IF(ISTEXT(_xll.PIArcVal(Data!V$32,Data!$G45,0,"PI_SERVER","exact time")),"",_xll.PIArcVal(Data!V$32,Data!$G45,0,"PI_SERVER","exact time"))</f>
        <v/>
      </c>
      <c r="W45" s="123" t="str">
        <f>IF(ISTEXT(_xll.PIArcVal(Data!W$32,Data!$G45,0,"PI_SERVER","exact time")),"",_xll.PIArcVal(Data!W$32,Data!$G45,0,"PI_SERVER","exact time"))</f>
        <v/>
      </c>
      <c r="X45" s="123" t="str">
        <f>IF(ISTEXT(_xll.PIArcVal(Data!X$32,Data!$G45,0,"PI_SERVER","exact time")),"",_xll.PIArcVal(Data!X$32,Data!$G45,0,"PI_SERVER","exact time"))</f>
        <v/>
      </c>
      <c r="Y45" s="123" t="str">
        <f>IF(ISTEXT(_xll.PIArcVal(Data!Y$32,Data!$G45,0,"PI_SERVER","exact time")),"",_xll.PIArcVal(Data!Y$32,Data!$G45,0,"PI_SERVER","exact time"))</f>
        <v/>
      </c>
      <c r="Z45" s="123" t="str">
        <f>IF(ISTEXT(_xll.PIArcVal(Data!Z$32,Data!$G45,0,"PI_SERVER","exact time")),"",_xll.PIArcVal(Data!Z$32,Data!$G45,0,"PI_SERVER","exact time"))</f>
        <v/>
      </c>
      <c r="AA45" s="123" t="str">
        <f>IF(ISTEXT(_xll.PIArcVal(Data!AA$32,Data!$G45,0,"PI_SERVER","exact time")),"",_xll.PIArcVal(Data!AA$32,Data!$G45,0,"PI_SERVER","exact time"))</f>
        <v/>
      </c>
      <c r="AB45" s="123" t="str">
        <f>IF(ISTEXT(_xll.PIArcVal(Data!AB$32,Data!$G45,0,"PI_SERVER","exact time")),"",_xll.PIArcVal(Data!AB$32,Data!$G45,0,"PI_SERVER","exact time"))</f>
        <v/>
      </c>
      <c r="AC45" s="123" t="str">
        <f>IF(ISTEXT(_xll.PIArcVal(Data!AC$32,Data!$G45,0,"PI_SERVER","exact time")),"",_xll.PIArcVal(Data!AC$32,Data!$G45,0,"PI_SERVER","exact time"))</f>
        <v/>
      </c>
      <c r="AD45" s="123" t="str">
        <f>IF(ISTEXT(_xll.PIArcVal(Data!AD$32,Data!$G45,0,"PI_SERVER","exact time")),"",_xll.PIArcVal(Data!AD$32,Data!$G45,0,"PI_SERVER","exact time"))</f>
        <v/>
      </c>
      <c r="AE45" s="123" t="str">
        <f>IF(ISTEXT(_xll.PIArcVal(Data!AE$32,Data!$G45,0,"PI_SERVER","exact time")),"",_xll.PIArcVal(Data!AE$32,Data!$G45,0,"PI_SERVER","exact time"))</f>
        <v/>
      </c>
      <c r="AF45" s="123" t="str">
        <f>IF(ISTEXT(_xll.PIArcVal(Data!AF$32,Data!$G45,0,"PI_SERVER","exact time")),"",_xll.PIArcVal(Data!AF$32,Data!$G45,0,"PI_SERVER","exact time"))</f>
        <v/>
      </c>
      <c r="AG45" s="123" t="str">
        <f>IF(ISTEXT(_xll.PIArcVal(Data!AG$32,Data!$G45,0,"PI_SERVER","exact time")),"",_xll.PIArcVal(Data!AG$32,Data!$G45,0,"PI_SERVER","exact time"))</f>
        <v/>
      </c>
      <c r="AH45" s="124" t="str">
        <f t="shared" si="50"/>
        <v/>
      </c>
      <c r="AI45" s="66" t="str">
        <f>IF(ISTEXT(_xll.PIArcVal(Data!AI$32,Data!$G45,0,"PI_SERVER","exact time")),"",_xll.PIArcVal(Data!AI$32,Data!$G45,0,"PI_SERVER","exact time"))</f>
        <v/>
      </c>
      <c r="AJ45" s="66" t="str">
        <f>IF(ISTEXT(_xll.PIArcVal(Data!AJ$32,Data!$G45,0,"PI_SERVER","exact time")),"",_xll.PIArcVal(Data!AJ$32,Data!$G45,0,"PI_SERVER","exact time"))</f>
        <v/>
      </c>
      <c r="AK45" s="66" t="str">
        <f>IF(ISTEXT(_xll.PIArcVal(Data!AK$32,Data!$G45,0,"PI_SERVER","exact time")),"",_xll.PIArcVal(Data!AK$32,Data!$G45,0,"PI_SERVER","exact time"))</f>
        <v/>
      </c>
      <c r="AL45" s="69">
        <f t="shared" si="55"/>
        <v>0</v>
      </c>
      <c r="AM45" s="18"/>
      <c r="AN45" s="18"/>
      <c r="AO45" s="18"/>
      <c r="AQ45" s="3">
        <f t="shared" si="14"/>
        <v>1</v>
      </c>
      <c r="AR45" s="19" t="s">
        <v>142</v>
      </c>
      <c r="AS45" s="9">
        <v>31</v>
      </c>
      <c r="AT45" s="17" t="str">
        <f t="shared" si="7"/>
        <v>31</v>
      </c>
      <c r="AU45" s="90" t="s">
        <v>111</v>
      </c>
      <c r="AV45" s="20">
        <v>1</v>
      </c>
      <c r="AW45" s="73">
        <f t="shared" ref="AW45:BH45" si="72">IF(G102="","",G102)</f>
        <v>41781.784722222219</v>
      </c>
      <c r="AX45" s="74">
        <f t="shared" si="72"/>
        <v>89</v>
      </c>
      <c r="AY45" s="74">
        <f t="shared" si="72"/>
        <v>176</v>
      </c>
      <c r="AZ45" s="74">
        <f t="shared" si="72"/>
        <v>162</v>
      </c>
      <c r="BA45" s="74">
        <f t="shared" si="72"/>
        <v>14</v>
      </c>
      <c r="BB45" s="74">
        <f t="shared" si="72"/>
        <v>130</v>
      </c>
      <c r="BC45" s="74">
        <f t="shared" si="72"/>
        <v>126</v>
      </c>
      <c r="BD45" s="74">
        <f t="shared" si="72"/>
        <v>4</v>
      </c>
      <c r="BE45" s="74">
        <f t="shared" si="72"/>
        <v>25</v>
      </c>
      <c r="BF45" s="74">
        <f t="shared" si="72"/>
        <v>0</v>
      </c>
      <c r="BG45" s="74">
        <f t="shared" si="72"/>
        <v>0</v>
      </c>
      <c r="BH45" s="74">
        <f t="shared" si="72"/>
        <v>0</v>
      </c>
      <c r="BI45" s="74">
        <f t="shared" ref="BI45:BV45" si="73">IF(T102="","",T102)</f>
        <v>0</v>
      </c>
      <c r="BJ45" s="74">
        <f t="shared" si="73"/>
        <v>31</v>
      </c>
      <c r="BK45" s="74">
        <f t="shared" si="73"/>
        <v>0</v>
      </c>
      <c r="BL45" s="74">
        <f t="shared" si="73"/>
        <v>0</v>
      </c>
      <c r="BM45" s="74">
        <f t="shared" si="73"/>
        <v>0</v>
      </c>
      <c r="BN45" s="74">
        <f t="shared" si="73"/>
        <v>11</v>
      </c>
      <c r="BO45" s="74">
        <f t="shared" si="73"/>
        <v>6</v>
      </c>
      <c r="BP45" s="74">
        <f t="shared" si="73"/>
        <v>9</v>
      </c>
      <c r="BQ45" s="74">
        <f t="shared" si="73"/>
        <v>3</v>
      </c>
      <c r="BR45" s="74" t="str">
        <f t="shared" si="73"/>
        <v/>
      </c>
      <c r="BS45" s="74">
        <f t="shared" si="73"/>
        <v>0</v>
      </c>
      <c r="BT45" s="74">
        <f t="shared" si="73"/>
        <v>0</v>
      </c>
      <c r="BU45" s="74">
        <f t="shared" si="73"/>
        <v>0</v>
      </c>
      <c r="BV45" s="74">
        <f t="shared" si="73"/>
        <v>0</v>
      </c>
      <c r="BW45" s="32">
        <f t="shared" ref="BW45:BW54" si="74">AJ102</f>
        <v>21.200000762939453</v>
      </c>
      <c r="BX45" s="32">
        <f t="shared" ref="BX45:BX54" si="75">AK102</f>
        <v>0.89023351669311523</v>
      </c>
    </row>
    <row r="46" spans="6:76" x14ac:dyDescent="0.25">
      <c r="G46" s="14"/>
      <c r="H46" s="4"/>
      <c r="I46" s="109"/>
      <c r="AK46" s="31" t="str">
        <f>IF(ISTEXT(_xll.PIArcVal(Data!AK$32,Data!$G46,0,"PI_SERVER","exact time")),"",_xll.PIArcVal(Data!AK$32,Data!$G46,0,"PI_SERVER","exact time"))</f>
        <v/>
      </c>
      <c r="AO46" s="18"/>
      <c r="AQ46" s="3">
        <f t="shared" si="14"/>
        <v>0</v>
      </c>
      <c r="AR46" s="19" t="s">
        <v>143</v>
      </c>
      <c r="AS46" s="9">
        <v>32</v>
      </c>
      <c r="AT46" s="17" t="str">
        <f t="shared" si="7"/>
        <v/>
      </c>
      <c r="AU46" s="90" t="s">
        <v>111</v>
      </c>
      <c r="AV46" s="20">
        <v>2</v>
      </c>
      <c r="AW46" s="75" t="str">
        <f t="shared" ref="AW46:BH46" si="76">IF(G103="","",G103)</f>
        <v xml:space="preserve"> </v>
      </c>
      <c r="AX46" s="76" t="str">
        <f t="shared" si="76"/>
        <v xml:space="preserve"> </v>
      </c>
      <c r="AY46" s="76" t="str">
        <f t="shared" si="76"/>
        <v/>
      </c>
      <c r="AZ46" s="76" t="str">
        <f t="shared" si="76"/>
        <v/>
      </c>
      <c r="BA46" s="76" t="str">
        <f t="shared" si="76"/>
        <v/>
      </c>
      <c r="BB46" s="76" t="str">
        <f t="shared" si="76"/>
        <v/>
      </c>
      <c r="BC46" s="76" t="str">
        <f t="shared" si="76"/>
        <v/>
      </c>
      <c r="BD46" s="76" t="str">
        <f t="shared" si="76"/>
        <v/>
      </c>
      <c r="BE46" s="76" t="str">
        <f t="shared" si="76"/>
        <v/>
      </c>
      <c r="BF46" s="76" t="str">
        <f t="shared" si="76"/>
        <v/>
      </c>
      <c r="BG46" s="76" t="str">
        <f t="shared" si="76"/>
        <v/>
      </c>
      <c r="BH46" s="76" t="str">
        <f t="shared" si="76"/>
        <v/>
      </c>
      <c r="BI46" s="76" t="str">
        <f t="shared" ref="BI46:BV46" si="77">IF(T103="","",T103)</f>
        <v/>
      </c>
      <c r="BJ46" s="76" t="str">
        <f t="shared" si="77"/>
        <v/>
      </c>
      <c r="BK46" s="76" t="str">
        <f t="shared" si="77"/>
        <v/>
      </c>
      <c r="BL46" s="76" t="str">
        <f t="shared" si="77"/>
        <v/>
      </c>
      <c r="BM46" s="76" t="str">
        <f t="shared" si="77"/>
        <v/>
      </c>
      <c r="BN46" s="76" t="str">
        <f t="shared" si="77"/>
        <v/>
      </c>
      <c r="BO46" s="76" t="str">
        <f t="shared" si="77"/>
        <v/>
      </c>
      <c r="BP46" s="76" t="str">
        <f t="shared" si="77"/>
        <v/>
      </c>
      <c r="BQ46" s="76" t="str">
        <f t="shared" si="77"/>
        <v/>
      </c>
      <c r="BR46" s="76" t="str">
        <f t="shared" si="77"/>
        <v/>
      </c>
      <c r="BS46" s="76" t="str">
        <f t="shared" si="77"/>
        <v/>
      </c>
      <c r="BT46" s="76" t="str">
        <f t="shared" si="77"/>
        <v/>
      </c>
      <c r="BU46" s="76" t="str">
        <f t="shared" si="77"/>
        <v/>
      </c>
      <c r="BV46" s="76" t="str">
        <f t="shared" si="77"/>
        <v/>
      </c>
      <c r="BW46" s="33" t="str">
        <f t="shared" si="74"/>
        <v/>
      </c>
      <c r="BX46" s="33" t="str">
        <f t="shared" si="75"/>
        <v/>
      </c>
    </row>
    <row r="47" spans="6:76" x14ac:dyDescent="0.25">
      <c r="G47" s="14"/>
      <c r="H47" s="4"/>
      <c r="I47" s="109"/>
      <c r="AK47" s="31" t="str">
        <f>IF(ISTEXT(_xll.PIArcVal(Data!AK$32,Data!$G47,0,"PI_SERVER","exact time")),"",_xll.PIArcVal(Data!AK$32,Data!$G47,0,"PI_SERVER","exact time"))</f>
        <v/>
      </c>
      <c r="AO47" s="18"/>
      <c r="AQ47" s="3">
        <f t="shared" si="14"/>
        <v>0</v>
      </c>
      <c r="AR47" s="19" t="s">
        <v>144</v>
      </c>
      <c r="AS47" s="9">
        <v>33</v>
      </c>
      <c r="AT47" s="17" t="str">
        <f t="shared" si="7"/>
        <v/>
      </c>
      <c r="AU47" s="90" t="s">
        <v>111</v>
      </c>
      <c r="AV47" s="20">
        <v>3</v>
      </c>
      <c r="AW47" s="75" t="str">
        <f t="shared" ref="AW47:BH47" si="78">IF(G104="","",G104)</f>
        <v/>
      </c>
      <c r="AX47" s="76" t="str">
        <f t="shared" si="78"/>
        <v/>
      </c>
      <c r="AY47" s="76" t="str">
        <f t="shared" si="78"/>
        <v/>
      </c>
      <c r="AZ47" s="76" t="str">
        <f t="shared" si="78"/>
        <v/>
      </c>
      <c r="BA47" s="76" t="str">
        <f t="shared" si="78"/>
        <v/>
      </c>
      <c r="BB47" s="76" t="str">
        <f t="shared" si="78"/>
        <v/>
      </c>
      <c r="BC47" s="76" t="str">
        <f t="shared" si="78"/>
        <v/>
      </c>
      <c r="BD47" s="76" t="str">
        <f t="shared" si="78"/>
        <v/>
      </c>
      <c r="BE47" s="76" t="str">
        <f t="shared" si="78"/>
        <v/>
      </c>
      <c r="BF47" s="76" t="str">
        <f t="shared" si="78"/>
        <v/>
      </c>
      <c r="BG47" s="76" t="str">
        <f t="shared" si="78"/>
        <v/>
      </c>
      <c r="BH47" s="76" t="str">
        <f t="shared" si="78"/>
        <v/>
      </c>
      <c r="BI47" s="76" t="str">
        <f t="shared" ref="BI47:BV47" si="79">IF(T104="","",T104)</f>
        <v/>
      </c>
      <c r="BJ47" s="76" t="str">
        <f t="shared" si="79"/>
        <v/>
      </c>
      <c r="BK47" s="76" t="str">
        <f t="shared" si="79"/>
        <v/>
      </c>
      <c r="BL47" s="76" t="str">
        <f t="shared" si="79"/>
        <v/>
      </c>
      <c r="BM47" s="76" t="str">
        <f t="shared" si="79"/>
        <v/>
      </c>
      <c r="BN47" s="76" t="str">
        <f t="shared" si="79"/>
        <v/>
      </c>
      <c r="BO47" s="76" t="str">
        <f t="shared" si="79"/>
        <v/>
      </c>
      <c r="BP47" s="76" t="str">
        <f t="shared" si="79"/>
        <v/>
      </c>
      <c r="BQ47" s="76" t="str">
        <f t="shared" si="79"/>
        <v/>
      </c>
      <c r="BR47" s="76" t="str">
        <f t="shared" si="79"/>
        <v/>
      </c>
      <c r="BS47" s="76" t="str">
        <f t="shared" si="79"/>
        <v/>
      </c>
      <c r="BT47" s="76" t="str">
        <f t="shared" si="79"/>
        <v/>
      </c>
      <c r="BU47" s="76" t="str">
        <f t="shared" si="79"/>
        <v/>
      </c>
      <c r="BV47" s="76" t="str">
        <f t="shared" si="79"/>
        <v/>
      </c>
      <c r="BW47" s="33" t="str">
        <f t="shared" si="74"/>
        <v/>
      </c>
      <c r="BX47" s="33" t="str">
        <f t="shared" si="75"/>
        <v/>
      </c>
    </row>
    <row r="48" spans="6:76" x14ac:dyDescent="0.25">
      <c r="G48" s="14"/>
      <c r="H48" s="4"/>
      <c r="I48" s="109"/>
      <c r="AK48" s="31" t="str">
        <f>IF(ISTEXT(_xll.PIArcVal(Data!AK$32,Data!$G48,0,"PI_SERVER","exact time")),"",_xll.PIArcVal(Data!AK$32,Data!$G48,0,"PI_SERVER","exact time"))</f>
        <v/>
      </c>
      <c r="AO48" s="18"/>
      <c r="AQ48" s="3">
        <f t="shared" si="14"/>
        <v>0</v>
      </c>
      <c r="AR48" s="19" t="s">
        <v>145</v>
      </c>
      <c r="AS48" s="9">
        <v>34</v>
      </c>
      <c r="AT48" s="17" t="str">
        <f t="shared" si="7"/>
        <v/>
      </c>
      <c r="AU48" s="90" t="s">
        <v>111</v>
      </c>
      <c r="AV48" s="20">
        <v>4</v>
      </c>
      <c r="AW48" s="75" t="str">
        <f t="shared" ref="AW48:BH48" si="80">IF(G105="","",G105)</f>
        <v/>
      </c>
      <c r="AX48" s="76" t="str">
        <f t="shared" si="80"/>
        <v/>
      </c>
      <c r="AY48" s="76" t="str">
        <f t="shared" si="80"/>
        <v/>
      </c>
      <c r="AZ48" s="76" t="str">
        <f t="shared" si="80"/>
        <v/>
      </c>
      <c r="BA48" s="76" t="str">
        <f t="shared" si="80"/>
        <v/>
      </c>
      <c r="BB48" s="76" t="str">
        <f t="shared" si="80"/>
        <v/>
      </c>
      <c r="BC48" s="76" t="str">
        <f t="shared" si="80"/>
        <v/>
      </c>
      <c r="BD48" s="76" t="str">
        <f t="shared" si="80"/>
        <v/>
      </c>
      <c r="BE48" s="76" t="str">
        <f t="shared" si="80"/>
        <v/>
      </c>
      <c r="BF48" s="76" t="str">
        <f t="shared" si="80"/>
        <v/>
      </c>
      <c r="BG48" s="76" t="str">
        <f t="shared" si="80"/>
        <v/>
      </c>
      <c r="BH48" s="76" t="str">
        <f t="shared" si="80"/>
        <v/>
      </c>
      <c r="BI48" s="76" t="str">
        <f t="shared" ref="BI48:BV48" si="81">IF(T105="","",T105)</f>
        <v/>
      </c>
      <c r="BJ48" s="76" t="str">
        <f t="shared" si="81"/>
        <v/>
      </c>
      <c r="BK48" s="76" t="str">
        <f t="shared" si="81"/>
        <v/>
      </c>
      <c r="BL48" s="76" t="str">
        <f t="shared" si="81"/>
        <v/>
      </c>
      <c r="BM48" s="76" t="str">
        <f t="shared" si="81"/>
        <v/>
      </c>
      <c r="BN48" s="76" t="str">
        <f t="shared" si="81"/>
        <v/>
      </c>
      <c r="BO48" s="76" t="str">
        <f t="shared" si="81"/>
        <v/>
      </c>
      <c r="BP48" s="76" t="str">
        <f t="shared" si="81"/>
        <v/>
      </c>
      <c r="BQ48" s="76" t="str">
        <f t="shared" si="81"/>
        <v/>
      </c>
      <c r="BR48" s="76" t="str">
        <f t="shared" si="81"/>
        <v/>
      </c>
      <c r="BS48" s="76" t="str">
        <f t="shared" si="81"/>
        <v/>
      </c>
      <c r="BT48" s="76" t="str">
        <f t="shared" si="81"/>
        <v/>
      </c>
      <c r="BU48" s="76" t="str">
        <f t="shared" si="81"/>
        <v/>
      </c>
      <c r="BV48" s="76" t="str">
        <f t="shared" si="81"/>
        <v/>
      </c>
      <c r="BW48" s="33" t="str">
        <f t="shared" si="74"/>
        <v/>
      </c>
      <c r="BX48" s="33" t="str">
        <f t="shared" si="75"/>
        <v/>
      </c>
    </row>
    <row r="49" spans="7:76" x14ac:dyDescent="0.25">
      <c r="H49" s="4"/>
      <c r="I49" s="109"/>
      <c r="AK49" s="31" t="str">
        <f>IF(ISTEXT(_xll.PIArcVal(Data!AK$32,Data!$G49,0,"PI_SERVER","exact time")),"",_xll.PIArcVal(Data!AK$32,Data!$G49,0,"PI_SERVER","exact time"))</f>
        <v/>
      </c>
      <c r="AQ49" s="3">
        <f t="shared" si="14"/>
        <v>0</v>
      </c>
      <c r="AR49" s="19" t="s">
        <v>146</v>
      </c>
      <c r="AS49" s="9">
        <v>35</v>
      </c>
      <c r="AT49" s="17" t="str">
        <f t="shared" si="7"/>
        <v/>
      </c>
      <c r="AU49" s="90" t="s">
        <v>111</v>
      </c>
      <c r="AV49" s="20">
        <v>5</v>
      </c>
      <c r="AW49" s="75" t="str">
        <f t="shared" ref="AW49:BH49" si="82">IF(G106="","",G106)</f>
        <v/>
      </c>
      <c r="AX49" s="76" t="str">
        <f t="shared" si="82"/>
        <v/>
      </c>
      <c r="AY49" s="76" t="str">
        <f t="shared" si="82"/>
        <v/>
      </c>
      <c r="AZ49" s="76" t="str">
        <f t="shared" si="82"/>
        <v/>
      </c>
      <c r="BA49" s="76" t="str">
        <f t="shared" si="82"/>
        <v/>
      </c>
      <c r="BB49" s="76" t="str">
        <f t="shared" si="82"/>
        <v/>
      </c>
      <c r="BC49" s="76" t="str">
        <f t="shared" si="82"/>
        <v/>
      </c>
      <c r="BD49" s="76" t="str">
        <f t="shared" si="82"/>
        <v/>
      </c>
      <c r="BE49" s="76" t="str">
        <f t="shared" si="82"/>
        <v/>
      </c>
      <c r="BF49" s="76" t="str">
        <f t="shared" si="82"/>
        <v/>
      </c>
      <c r="BG49" s="76" t="str">
        <f t="shared" si="82"/>
        <v/>
      </c>
      <c r="BH49" s="76" t="str">
        <f t="shared" si="82"/>
        <v/>
      </c>
      <c r="BI49" s="76" t="str">
        <f t="shared" ref="BI49:BV49" si="83">IF(T106="","",T106)</f>
        <v/>
      </c>
      <c r="BJ49" s="76" t="str">
        <f t="shared" si="83"/>
        <v/>
      </c>
      <c r="BK49" s="76" t="str">
        <f t="shared" si="83"/>
        <v/>
      </c>
      <c r="BL49" s="76" t="str">
        <f t="shared" si="83"/>
        <v/>
      </c>
      <c r="BM49" s="76" t="str">
        <f t="shared" si="83"/>
        <v/>
      </c>
      <c r="BN49" s="76" t="str">
        <f t="shared" si="83"/>
        <v/>
      </c>
      <c r="BO49" s="76" t="str">
        <f t="shared" si="83"/>
        <v/>
      </c>
      <c r="BP49" s="76" t="str">
        <f t="shared" si="83"/>
        <v/>
      </c>
      <c r="BQ49" s="76" t="str">
        <f t="shared" si="83"/>
        <v/>
      </c>
      <c r="BR49" s="76" t="str">
        <f t="shared" si="83"/>
        <v/>
      </c>
      <c r="BS49" s="76" t="str">
        <f t="shared" si="83"/>
        <v/>
      </c>
      <c r="BT49" s="76" t="str">
        <f t="shared" si="83"/>
        <v/>
      </c>
      <c r="BU49" s="76" t="str">
        <f t="shared" si="83"/>
        <v/>
      </c>
      <c r="BV49" s="76" t="str">
        <f t="shared" si="83"/>
        <v/>
      </c>
      <c r="BW49" s="33" t="str">
        <f t="shared" si="74"/>
        <v/>
      </c>
      <c r="BX49" s="33" t="str">
        <f t="shared" si="75"/>
        <v/>
      </c>
    </row>
    <row r="50" spans="7:76" x14ac:dyDescent="0.25">
      <c r="H50" s="4"/>
      <c r="I50" s="109"/>
      <c r="AQ50" s="3">
        <f t="shared" si="14"/>
        <v>0</v>
      </c>
      <c r="AR50" s="19" t="s">
        <v>147</v>
      </c>
      <c r="AS50" s="9">
        <v>36</v>
      </c>
      <c r="AT50" s="17" t="str">
        <f t="shared" si="7"/>
        <v/>
      </c>
      <c r="AU50" s="90" t="s">
        <v>111</v>
      </c>
      <c r="AV50" s="20">
        <v>6</v>
      </c>
      <c r="AW50" s="75" t="str">
        <f t="shared" ref="AW50:BH50" si="84">IF(G107="","",G107)</f>
        <v/>
      </c>
      <c r="AX50" s="76" t="str">
        <f t="shared" si="84"/>
        <v/>
      </c>
      <c r="AY50" s="76" t="str">
        <f t="shared" si="84"/>
        <v/>
      </c>
      <c r="AZ50" s="76" t="str">
        <f t="shared" si="84"/>
        <v/>
      </c>
      <c r="BA50" s="76" t="str">
        <f t="shared" si="84"/>
        <v/>
      </c>
      <c r="BB50" s="76" t="str">
        <f t="shared" si="84"/>
        <v/>
      </c>
      <c r="BC50" s="76" t="str">
        <f t="shared" si="84"/>
        <v/>
      </c>
      <c r="BD50" s="76" t="str">
        <f t="shared" si="84"/>
        <v/>
      </c>
      <c r="BE50" s="76" t="str">
        <f t="shared" si="84"/>
        <v/>
      </c>
      <c r="BF50" s="76" t="str">
        <f t="shared" si="84"/>
        <v/>
      </c>
      <c r="BG50" s="76" t="str">
        <f t="shared" si="84"/>
        <v/>
      </c>
      <c r="BH50" s="76" t="str">
        <f t="shared" si="84"/>
        <v/>
      </c>
      <c r="BI50" s="76" t="str">
        <f t="shared" ref="BI50:BV50" si="85">IF(T107="","",T107)</f>
        <v/>
      </c>
      <c r="BJ50" s="76" t="str">
        <f t="shared" si="85"/>
        <v/>
      </c>
      <c r="BK50" s="76" t="str">
        <f t="shared" si="85"/>
        <v/>
      </c>
      <c r="BL50" s="76" t="str">
        <f t="shared" si="85"/>
        <v/>
      </c>
      <c r="BM50" s="76" t="str">
        <f t="shared" si="85"/>
        <v/>
      </c>
      <c r="BN50" s="76" t="str">
        <f t="shared" si="85"/>
        <v/>
      </c>
      <c r="BO50" s="76" t="str">
        <f t="shared" si="85"/>
        <v/>
      </c>
      <c r="BP50" s="76" t="str">
        <f t="shared" si="85"/>
        <v/>
      </c>
      <c r="BQ50" s="76" t="str">
        <f t="shared" si="85"/>
        <v/>
      </c>
      <c r="BR50" s="76" t="str">
        <f t="shared" si="85"/>
        <v/>
      </c>
      <c r="BS50" s="76" t="str">
        <f t="shared" si="85"/>
        <v/>
      </c>
      <c r="BT50" s="76" t="str">
        <f t="shared" si="85"/>
        <v/>
      </c>
      <c r="BU50" s="76" t="str">
        <f t="shared" si="85"/>
        <v/>
      </c>
      <c r="BV50" s="76" t="str">
        <f t="shared" si="85"/>
        <v/>
      </c>
      <c r="BW50" s="33" t="str">
        <f t="shared" si="74"/>
        <v/>
      </c>
      <c r="BX50" s="33" t="str">
        <f t="shared" si="75"/>
        <v/>
      </c>
    </row>
    <row r="51" spans="7:76" x14ac:dyDescent="0.25">
      <c r="H51" s="4"/>
      <c r="I51" s="109"/>
      <c r="AQ51" s="3">
        <f t="shared" si="14"/>
        <v>0</v>
      </c>
      <c r="AR51" s="19" t="s">
        <v>148</v>
      </c>
      <c r="AS51" s="9">
        <v>37</v>
      </c>
      <c r="AT51" s="17" t="str">
        <f t="shared" si="7"/>
        <v/>
      </c>
      <c r="AU51" s="90" t="s">
        <v>111</v>
      </c>
      <c r="AV51" s="20">
        <v>7</v>
      </c>
      <c r="AW51" s="75" t="str">
        <f t="shared" ref="AW51:BH51" si="86">IF(G108="","",G108)</f>
        <v/>
      </c>
      <c r="AX51" s="76" t="str">
        <f t="shared" si="86"/>
        <v/>
      </c>
      <c r="AY51" s="76" t="str">
        <f t="shared" si="86"/>
        <v/>
      </c>
      <c r="AZ51" s="76" t="str">
        <f t="shared" si="86"/>
        <v/>
      </c>
      <c r="BA51" s="76" t="str">
        <f t="shared" si="86"/>
        <v/>
      </c>
      <c r="BB51" s="76" t="str">
        <f t="shared" si="86"/>
        <v/>
      </c>
      <c r="BC51" s="76" t="str">
        <f t="shared" si="86"/>
        <v/>
      </c>
      <c r="BD51" s="76" t="str">
        <f t="shared" si="86"/>
        <v/>
      </c>
      <c r="BE51" s="76" t="str">
        <f t="shared" si="86"/>
        <v/>
      </c>
      <c r="BF51" s="76" t="str">
        <f t="shared" si="86"/>
        <v/>
      </c>
      <c r="BG51" s="76" t="str">
        <f t="shared" si="86"/>
        <v/>
      </c>
      <c r="BH51" s="76" t="str">
        <f t="shared" si="86"/>
        <v/>
      </c>
      <c r="BI51" s="76" t="str">
        <f t="shared" ref="BI51:BV51" si="87">IF(T108="","",T108)</f>
        <v/>
      </c>
      <c r="BJ51" s="76" t="str">
        <f t="shared" si="87"/>
        <v/>
      </c>
      <c r="BK51" s="76" t="str">
        <f t="shared" si="87"/>
        <v/>
      </c>
      <c r="BL51" s="76" t="str">
        <f t="shared" si="87"/>
        <v/>
      </c>
      <c r="BM51" s="76" t="str">
        <f t="shared" si="87"/>
        <v/>
      </c>
      <c r="BN51" s="76" t="str">
        <f t="shared" si="87"/>
        <v/>
      </c>
      <c r="BO51" s="76" t="str">
        <f t="shared" si="87"/>
        <v/>
      </c>
      <c r="BP51" s="76" t="str">
        <f t="shared" si="87"/>
        <v/>
      </c>
      <c r="BQ51" s="76" t="str">
        <f t="shared" si="87"/>
        <v/>
      </c>
      <c r="BR51" s="76" t="str">
        <f t="shared" si="87"/>
        <v/>
      </c>
      <c r="BS51" s="76" t="str">
        <f t="shared" si="87"/>
        <v/>
      </c>
      <c r="BT51" s="76" t="str">
        <f t="shared" si="87"/>
        <v/>
      </c>
      <c r="BU51" s="76" t="str">
        <f t="shared" si="87"/>
        <v/>
      </c>
      <c r="BV51" s="76" t="str">
        <f t="shared" si="87"/>
        <v/>
      </c>
      <c r="BW51" s="33" t="str">
        <f t="shared" si="74"/>
        <v/>
      </c>
      <c r="BX51" s="33" t="str">
        <f t="shared" si="75"/>
        <v/>
      </c>
    </row>
    <row r="52" spans="7:76" x14ac:dyDescent="0.25">
      <c r="H52" s="4"/>
      <c r="I52" s="109"/>
      <c r="AQ52" s="3">
        <f t="shared" si="14"/>
        <v>0</v>
      </c>
      <c r="AR52" s="19" t="s">
        <v>149</v>
      </c>
      <c r="AS52" s="9">
        <v>38</v>
      </c>
      <c r="AT52" s="17" t="str">
        <f t="shared" si="7"/>
        <v/>
      </c>
      <c r="AU52" s="90" t="s">
        <v>111</v>
      </c>
      <c r="AV52" s="20">
        <v>8</v>
      </c>
      <c r="AW52" s="75" t="str">
        <f t="shared" ref="AW52:BH52" si="88">IF(G109="","",G109)</f>
        <v/>
      </c>
      <c r="AX52" s="76" t="str">
        <f t="shared" si="88"/>
        <v/>
      </c>
      <c r="AY52" s="76" t="str">
        <f t="shared" si="88"/>
        <v/>
      </c>
      <c r="AZ52" s="76" t="str">
        <f t="shared" si="88"/>
        <v/>
      </c>
      <c r="BA52" s="76" t="str">
        <f t="shared" si="88"/>
        <v/>
      </c>
      <c r="BB52" s="76" t="str">
        <f t="shared" si="88"/>
        <v/>
      </c>
      <c r="BC52" s="76" t="str">
        <f t="shared" si="88"/>
        <v/>
      </c>
      <c r="BD52" s="76" t="str">
        <f t="shared" si="88"/>
        <v/>
      </c>
      <c r="BE52" s="76" t="str">
        <f t="shared" si="88"/>
        <v/>
      </c>
      <c r="BF52" s="76" t="str">
        <f t="shared" si="88"/>
        <v/>
      </c>
      <c r="BG52" s="76" t="str">
        <f t="shared" si="88"/>
        <v/>
      </c>
      <c r="BH52" s="76" t="str">
        <f t="shared" si="88"/>
        <v/>
      </c>
      <c r="BI52" s="76" t="str">
        <f t="shared" ref="BI52:BV52" si="89">IF(T109="","",T109)</f>
        <v/>
      </c>
      <c r="BJ52" s="76" t="str">
        <f t="shared" si="89"/>
        <v/>
      </c>
      <c r="BK52" s="76" t="str">
        <f t="shared" si="89"/>
        <v/>
      </c>
      <c r="BL52" s="76" t="str">
        <f t="shared" si="89"/>
        <v/>
      </c>
      <c r="BM52" s="76" t="str">
        <f t="shared" si="89"/>
        <v/>
      </c>
      <c r="BN52" s="76" t="str">
        <f t="shared" si="89"/>
        <v/>
      </c>
      <c r="BO52" s="76" t="str">
        <f t="shared" si="89"/>
        <v/>
      </c>
      <c r="BP52" s="76" t="str">
        <f t="shared" si="89"/>
        <v/>
      </c>
      <c r="BQ52" s="76" t="str">
        <f t="shared" si="89"/>
        <v/>
      </c>
      <c r="BR52" s="76" t="str">
        <f t="shared" si="89"/>
        <v/>
      </c>
      <c r="BS52" s="76" t="str">
        <f t="shared" si="89"/>
        <v/>
      </c>
      <c r="BT52" s="76" t="str">
        <f t="shared" si="89"/>
        <v/>
      </c>
      <c r="BU52" s="76" t="str">
        <f t="shared" si="89"/>
        <v/>
      </c>
      <c r="BV52" s="76" t="str">
        <f t="shared" si="89"/>
        <v/>
      </c>
      <c r="BW52" s="33" t="str">
        <f t="shared" si="74"/>
        <v/>
      </c>
      <c r="BX52" s="33" t="str">
        <f t="shared" si="75"/>
        <v/>
      </c>
    </row>
    <row r="53" spans="7:76" x14ac:dyDescent="0.25">
      <c r="H53" s="4"/>
      <c r="I53" s="109"/>
      <c r="AQ53" s="3">
        <f t="shared" si="14"/>
        <v>0</v>
      </c>
      <c r="AR53" s="19" t="s">
        <v>150</v>
      </c>
      <c r="AS53" s="9">
        <v>39</v>
      </c>
      <c r="AT53" s="17" t="str">
        <f t="shared" si="7"/>
        <v/>
      </c>
      <c r="AU53" s="90" t="s">
        <v>111</v>
      </c>
      <c r="AV53" s="20">
        <v>9</v>
      </c>
      <c r="AW53" s="75" t="str">
        <f t="shared" ref="AW53:BH53" si="90">IF(G110="","",G110)</f>
        <v/>
      </c>
      <c r="AX53" s="76" t="str">
        <f t="shared" si="90"/>
        <v/>
      </c>
      <c r="AY53" s="76" t="str">
        <f t="shared" si="90"/>
        <v/>
      </c>
      <c r="AZ53" s="76" t="str">
        <f t="shared" si="90"/>
        <v/>
      </c>
      <c r="BA53" s="76" t="str">
        <f t="shared" si="90"/>
        <v/>
      </c>
      <c r="BB53" s="76" t="str">
        <f t="shared" si="90"/>
        <v/>
      </c>
      <c r="BC53" s="76" t="str">
        <f t="shared" si="90"/>
        <v/>
      </c>
      <c r="BD53" s="76" t="str">
        <f t="shared" si="90"/>
        <v/>
      </c>
      <c r="BE53" s="76" t="str">
        <f t="shared" si="90"/>
        <v/>
      </c>
      <c r="BF53" s="76" t="str">
        <f t="shared" si="90"/>
        <v/>
      </c>
      <c r="BG53" s="76" t="str">
        <f t="shared" si="90"/>
        <v/>
      </c>
      <c r="BH53" s="76" t="str">
        <f t="shared" si="90"/>
        <v/>
      </c>
      <c r="BI53" s="76" t="str">
        <f t="shared" ref="BI53:BV53" si="91">IF(T110="","",T110)</f>
        <v/>
      </c>
      <c r="BJ53" s="76" t="str">
        <f t="shared" si="91"/>
        <v/>
      </c>
      <c r="BK53" s="76" t="str">
        <f t="shared" si="91"/>
        <v/>
      </c>
      <c r="BL53" s="76" t="str">
        <f t="shared" si="91"/>
        <v/>
      </c>
      <c r="BM53" s="76" t="str">
        <f t="shared" si="91"/>
        <v/>
      </c>
      <c r="BN53" s="76" t="str">
        <f t="shared" si="91"/>
        <v/>
      </c>
      <c r="BO53" s="76" t="str">
        <f t="shared" si="91"/>
        <v/>
      </c>
      <c r="BP53" s="76" t="str">
        <f t="shared" si="91"/>
        <v/>
      </c>
      <c r="BQ53" s="76" t="str">
        <f t="shared" si="91"/>
        <v/>
      </c>
      <c r="BR53" s="76" t="str">
        <f t="shared" si="91"/>
        <v/>
      </c>
      <c r="BS53" s="76" t="str">
        <f t="shared" si="91"/>
        <v/>
      </c>
      <c r="BT53" s="76" t="str">
        <f t="shared" si="91"/>
        <v/>
      </c>
      <c r="BU53" s="76" t="str">
        <f t="shared" si="91"/>
        <v/>
      </c>
      <c r="BV53" s="76" t="str">
        <f t="shared" si="91"/>
        <v/>
      </c>
      <c r="BW53" s="33" t="str">
        <f t="shared" si="74"/>
        <v/>
      </c>
      <c r="BX53" s="33" t="str">
        <f t="shared" si="75"/>
        <v/>
      </c>
    </row>
    <row r="54" spans="7:76" ht="51.75" x14ac:dyDescent="0.25">
      <c r="G54" s="294" t="s">
        <v>43</v>
      </c>
      <c r="H54" s="1" t="s">
        <v>47</v>
      </c>
      <c r="I54" s="111" t="s">
        <v>175</v>
      </c>
      <c r="J54" s="111" t="s">
        <v>49</v>
      </c>
      <c r="K54" s="111"/>
      <c r="L54" s="111" t="s">
        <v>48</v>
      </c>
      <c r="M54" s="111" t="s">
        <v>176</v>
      </c>
      <c r="N54" s="111"/>
      <c r="O54" s="112" t="s">
        <v>26</v>
      </c>
      <c r="P54" s="113" t="s">
        <v>27</v>
      </c>
      <c r="Q54" s="113" t="s">
        <v>28</v>
      </c>
      <c r="R54" s="113" t="s">
        <v>177</v>
      </c>
      <c r="S54" s="114" t="s">
        <v>166</v>
      </c>
      <c r="T54" s="113" t="s">
        <v>29</v>
      </c>
      <c r="U54" s="115" t="s">
        <v>30</v>
      </c>
      <c r="V54" s="115" t="s">
        <v>31</v>
      </c>
      <c r="W54" s="113" t="s">
        <v>32</v>
      </c>
      <c r="X54" s="113" t="s">
        <v>33</v>
      </c>
      <c r="Y54" s="113" t="s">
        <v>34</v>
      </c>
      <c r="Z54" s="115" t="s">
        <v>35</v>
      </c>
      <c r="AA54" s="115" t="s">
        <v>36</v>
      </c>
      <c r="AB54" s="116" t="s">
        <v>37</v>
      </c>
      <c r="AC54" s="117" t="s">
        <v>38</v>
      </c>
      <c r="AD54" s="113" t="s">
        <v>40</v>
      </c>
      <c r="AE54" s="113" t="s">
        <v>41</v>
      </c>
      <c r="AF54" s="113" t="s">
        <v>42</v>
      </c>
      <c r="AG54" s="113" t="s">
        <v>178</v>
      </c>
      <c r="AH54" s="114" t="s">
        <v>166</v>
      </c>
      <c r="AI54" s="2" t="s">
        <v>39</v>
      </c>
      <c r="AJ54" s="30" t="s">
        <v>156</v>
      </c>
      <c r="AK54" s="30" t="s">
        <v>206</v>
      </c>
      <c r="AL54" s="70"/>
      <c r="AM54" s="21"/>
      <c r="AN54" s="21"/>
      <c r="AQ54" s="3">
        <f t="shared" si="14"/>
        <v>0</v>
      </c>
      <c r="AR54" s="19" t="s">
        <v>151</v>
      </c>
      <c r="AS54" s="9">
        <v>40</v>
      </c>
      <c r="AT54" s="17" t="str">
        <f t="shared" si="7"/>
        <v/>
      </c>
      <c r="AU54" s="90" t="s">
        <v>111</v>
      </c>
      <c r="AV54" s="20">
        <v>10</v>
      </c>
      <c r="AW54" s="75" t="str">
        <f t="shared" ref="AW54:BH54" si="92">IF(G111="","",G111)</f>
        <v/>
      </c>
      <c r="AX54" s="76" t="str">
        <f t="shared" si="92"/>
        <v/>
      </c>
      <c r="AY54" s="76" t="str">
        <f t="shared" si="92"/>
        <v/>
      </c>
      <c r="AZ54" s="76" t="str">
        <f t="shared" si="92"/>
        <v/>
      </c>
      <c r="BA54" s="76" t="str">
        <f t="shared" si="92"/>
        <v/>
      </c>
      <c r="BB54" s="76" t="str">
        <f t="shared" si="92"/>
        <v/>
      </c>
      <c r="BC54" s="76" t="str">
        <f t="shared" si="92"/>
        <v/>
      </c>
      <c r="BD54" s="76" t="str">
        <f t="shared" si="92"/>
        <v/>
      </c>
      <c r="BE54" s="76" t="str">
        <f t="shared" si="92"/>
        <v/>
      </c>
      <c r="BF54" s="76" t="str">
        <f t="shared" si="92"/>
        <v/>
      </c>
      <c r="BG54" s="76" t="str">
        <f t="shared" si="92"/>
        <v/>
      </c>
      <c r="BH54" s="76" t="str">
        <f t="shared" si="92"/>
        <v/>
      </c>
      <c r="BI54" s="76" t="str">
        <f t="shared" ref="BI54:BV54" si="93">IF(T111="","",T111)</f>
        <v/>
      </c>
      <c r="BJ54" s="76" t="str">
        <f t="shared" si="93"/>
        <v/>
      </c>
      <c r="BK54" s="76" t="str">
        <f t="shared" si="93"/>
        <v/>
      </c>
      <c r="BL54" s="76" t="str">
        <f t="shared" si="93"/>
        <v/>
      </c>
      <c r="BM54" s="76" t="str">
        <f t="shared" si="93"/>
        <v/>
      </c>
      <c r="BN54" s="76" t="str">
        <f t="shared" si="93"/>
        <v/>
      </c>
      <c r="BO54" s="76" t="str">
        <f t="shared" si="93"/>
        <v/>
      </c>
      <c r="BP54" s="76" t="str">
        <f t="shared" si="93"/>
        <v/>
      </c>
      <c r="BQ54" s="76" t="str">
        <f t="shared" si="93"/>
        <v/>
      </c>
      <c r="BR54" s="76" t="str">
        <f t="shared" si="93"/>
        <v/>
      </c>
      <c r="BS54" s="76" t="str">
        <f t="shared" si="93"/>
        <v/>
      </c>
      <c r="BT54" s="76" t="str">
        <f t="shared" si="93"/>
        <v/>
      </c>
      <c r="BU54" s="76" t="str">
        <f t="shared" si="93"/>
        <v/>
      </c>
      <c r="BV54" s="76" t="str">
        <f t="shared" si="93"/>
        <v/>
      </c>
      <c r="BW54" s="33" t="str">
        <f t="shared" si="74"/>
        <v/>
      </c>
      <c r="BX54" s="33" t="str">
        <f t="shared" si="75"/>
        <v/>
      </c>
    </row>
    <row r="55" spans="7:76" ht="14.25" customHeight="1" x14ac:dyDescent="0.25">
      <c r="G55" s="294"/>
      <c r="H55" s="284" t="str">
        <f>H$9</f>
        <v>CYCLE</v>
      </c>
      <c r="I55" s="286" t="str">
        <f t="shared" ref="I55:N55" si="94">I$10</f>
        <v>MATTE PRODUCED</v>
      </c>
      <c r="J55" s="286" t="str">
        <f t="shared" si="94"/>
        <v>MATTE TREATED</v>
      </c>
      <c r="K55" s="286" t="str">
        <f t="shared" si="94"/>
        <v>MATTE SKULL PRODUCTION</v>
      </c>
      <c r="L55" s="286" t="str">
        <f t="shared" si="94"/>
        <v>BLISTER PRODUCED</v>
      </c>
      <c r="M55" s="286" t="str">
        <f t="shared" si="94"/>
        <v>BLISTER TREATED</v>
      </c>
      <c r="N55" s="286" t="str">
        <f t="shared" si="94"/>
        <v>BLISTER SKULL PRODUCTION</v>
      </c>
      <c r="O55" s="293" t="s">
        <v>6</v>
      </c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125"/>
    </row>
    <row r="56" spans="7:76" ht="15.75" customHeight="1" x14ac:dyDescent="0.25">
      <c r="G56" s="294"/>
      <c r="H56" s="285"/>
      <c r="I56" s="287"/>
      <c r="J56" s="287"/>
      <c r="K56" s="287"/>
      <c r="L56" s="287"/>
      <c r="M56" s="287"/>
      <c r="N56" s="287"/>
      <c r="O56" s="288" t="s">
        <v>24</v>
      </c>
      <c r="P56" s="289"/>
      <c r="Q56" s="290"/>
      <c r="R56" s="291" t="s">
        <v>9</v>
      </c>
      <c r="S56" s="126"/>
      <c r="T56" s="283" t="s">
        <v>25</v>
      </c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127"/>
      <c r="AH56" s="119"/>
      <c r="AI56" s="8"/>
      <c r="AJ56" s="8"/>
      <c r="AK56" s="8"/>
      <c r="AL56" s="71"/>
      <c r="AM56" s="22"/>
      <c r="AN56" s="22"/>
    </row>
    <row r="57" spans="7:76" ht="24" customHeight="1" x14ac:dyDescent="0.25">
      <c r="H57" s="285"/>
      <c r="I57" s="287"/>
      <c r="J57" s="287"/>
      <c r="K57" s="287"/>
      <c r="L57" s="287"/>
      <c r="M57" s="287"/>
      <c r="N57" s="287"/>
      <c r="O57" s="128" t="s">
        <v>7</v>
      </c>
      <c r="P57" s="128" t="s">
        <v>8</v>
      </c>
      <c r="Q57" s="128" t="s">
        <v>10</v>
      </c>
      <c r="R57" s="292"/>
      <c r="S57" s="129"/>
      <c r="T57" s="128" t="s">
        <v>11</v>
      </c>
      <c r="U57" s="128" t="s">
        <v>12</v>
      </c>
      <c r="V57" s="128" t="s">
        <v>13</v>
      </c>
      <c r="W57" s="128" t="s">
        <v>14</v>
      </c>
      <c r="X57" s="128" t="s">
        <v>15</v>
      </c>
      <c r="Y57" s="128" t="s">
        <v>16</v>
      </c>
      <c r="Z57" s="128" t="s">
        <v>17</v>
      </c>
      <c r="AA57" s="128" t="s">
        <v>18</v>
      </c>
      <c r="AB57" s="128" t="s">
        <v>19</v>
      </c>
      <c r="AC57" s="128" t="s">
        <v>20</v>
      </c>
      <c r="AD57" s="128" t="s">
        <v>21</v>
      </c>
      <c r="AE57" s="128" t="s">
        <v>22</v>
      </c>
      <c r="AF57" s="128" t="s">
        <v>23</v>
      </c>
      <c r="AG57" s="130"/>
      <c r="AJ57" s="100" t="s">
        <v>155</v>
      </c>
      <c r="AK57" s="100" t="s">
        <v>209</v>
      </c>
      <c r="AO57" s="21"/>
      <c r="AQ57" s="7"/>
    </row>
    <row r="58" spans="7:76" ht="20.25" x14ac:dyDescent="0.25">
      <c r="G58" s="64" t="str">
        <f t="array" ref="G58:H58">_xll.PICompDat(Data!$H$54,Data!$G$4,Data!$G$5,9,"PI_SERVER","inside")</f>
        <v>Resize to show all values</v>
      </c>
      <c r="H58" s="65" t="str">
        <v>Resize to show all values</v>
      </c>
      <c r="I58" s="157" t="str">
        <f>IF(ISTEXT(_xll.PIArcVal(Data!I$54,Data!$G58,0,"PI_SERVER","exact time")),"",_xll.PIArcVal(Data!I$54,Data!$G58,0,"PI_SERVER","exact time"))</f>
        <v/>
      </c>
      <c r="J58" s="157" t="str">
        <f>IF(ISTEXT(_xll.PIArcVal(Data!J$54,Data!$G58,0,"PI_SERVER","exact time")),"",_xll.PIArcVal(Data!J$54,Data!$G58,0,"PI_SERVER","exact time"))</f>
        <v/>
      </c>
      <c r="K58" s="157" t="str">
        <f>IFERROR(I58-J58,"")</f>
        <v/>
      </c>
      <c r="L58" s="157" t="str">
        <f>IF(ISTEXT(_xll.PIArcVal(Data!L$54,Data!$G58,0,"PI_SERVER","exact time")),"",_xll.PIArcVal(Data!L$54,Data!$G58,0,"PI_SERVER","exact time"))</f>
        <v/>
      </c>
      <c r="M58" s="157" t="str">
        <f>IF(ISTEXT(_xll.PIArcVal(Data!M$54,Data!$G58,0,"PI_SERVER","exact time")),"",_xll.PIArcVal(Data!M$54,Data!$G58,0,"PI_SERVER","exact time"))</f>
        <v/>
      </c>
      <c r="N58" s="157" t="str">
        <f>IFERROR(L58-M58,"")</f>
        <v/>
      </c>
      <c r="O58" s="163" t="str">
        <f>IF(ISTEXT(_xll.PIArcVal(Data!O$54,Data!$G58,0,"PI_SERVER","exact time")),"",_xll.PIArcVal(Data!O$54,Data!$G58,0,"PI_SERVER","exact time"))</f>
        <v/>
      </c>
      <c r="P58" s="163" t="str">
        <f>IF(ISTEXT(_xll.PIArcVal(Data!P$54,Data!$G58,0,"PI_SERVER","exact time")),"",_xll.PIArcVal(Data!P$54,Data!$G58,0,"PI_SERVER","exact time"))</f>
        <v/>
      </c>
      <c r="Q58" s="163" t="str">
        <f>IF(ISTEXT(_xll.PIArcVal(Data!Q$54,Data!$G58,0,"PI_SERVER","exact time")),"",_xll.PIArcVal(Data!Q$54,Data!$G58,0,"PI_SERVER","exact time"))</f>
        <v/>
      </c>
      <c r="R58" s="163" t="str">
        <f>IF(ISTEXT(_xll.PIArcVal(Data!R$54,Data!$G58,0,"PI_SERVER","exact time")),"",_xll.PIArcVal(Data!R$54,Data!$G58,0,"PI_SERVER","exact time"))</f>
        <v/>
      </c>
      <c r="S58" s="163"/>
      <c r="T58" s="163" t="str">
        <f>IF(ISTEXT(_xll.PIArcVal(Data!T$54,Data!$G58,0,"PI_SERVER","exact time")),"",_xll.PIArcVal(Data!T$54,Data!$G58,0,"PI_SERVER","exact time"))</f>
        <v/>
      </c>
      <c r="U58" s="163" t="str">
        <f>IF(ISTEXT(_xll.PIArcVal(Data!U$54,Data!$G58,0,"PI_SERVER","exact time")),"",_xll.PIArcVal(Data!U$54,Data!$G58,0,"PI_SERVER","exact time"))</f>
        <v/>
      </c>
      <c r="V58" s="163" t="str">
        <f>IF(ISTEXT(_xll.PIArcVal(Data!V$54,Data!$G58,0,"PI_SERVER","exact time")),"",_xll.PIArcVal(Data!V$54,Data!$G58,0,"PI_SERVER","exact time"))</f>
        <v/>
      </c>
      <c r="W58" s="163" t="str">
        <f>IF(ISTEXT(_xll.PIArcVal(Data!W$54,Data!$G58,0,"PI_SERVER","exact time")),"",_xll.PIArcVal(Data!W$54,Data!$G58,0,"PI_SERVER","exact time"))</f>
        <v/>
      </c>
      <c r="X58" s="163" t="str">
        <f>IF(ISTEXT(_xll.PIArcVal(Data!X$54,Data!$G58,0,"PI_SERVER","exact time")),"",_xll.PIArcVal(Data!X$54,Data!$G58,0,"PI_SERVER","exact time"))</f>
        <v/>
      </c>
      <c r="Y58" s="163" t="str">
        <f>IF(ISTEXT(_xll.PIArcVal(Data!Y$54,Data!$G58,0,"PI_SERVER","exact time")),"",_xll.PIArcVal(Data!Y$54,Data!$G58,0,"PI_SERVER","exact time"))</f>
        <v/>
      </c>
      <c r="Z58" s="163" t="str">
        <f>IF(ISTEXT(_xll.PIArcVal(Data!Z$54,Data!$G58,0,"PI_SERVER","exact time")),"",_xll.PIArcVal(Data!Z$54,Data!$G58,0,"PI_SERVER","exact time"))</f>
        <v/>
      </c>
      <c r="AA58" s="163" t="str">
        <f>IF(ISTEXT(_xll.PIArcVal(Data!AA$54,Data!$G58,0,"PI_SERVER","exact time")),"",_xll.PIArcVal(Data!AA$54,Data!$G58,0,"PI_SERVER","exact time"))</f>
        <v/>
      </c>
      <c r="AB58" s="163" t="str">
        <f>IF(ISTEXT(_xll.PIArcVal(Data!AB$54,Data!$G58,0,"PI_SERVER","exact time")),"",_xll.PIArcVal(Data!AB$54,Data!$G58,0,"PI_SERVER","exact time"))</f>
        <v/>
      </c>
      <c r="AC58" s="163" t="str">
        <f>IF(ISTEXT(_xll.PIArcVal(Data!AC$54,Data!$G58,0,"PI_SERVER","exact time")),"",_xll.PIArcVal(Data!AC$54,Data!$G58,0,"PI_SERVER","exact time"))</f>
        <v/>
      </c>
      <c r="AD58" s="163" t="str">
        <f>IF(ISTEXT(_xll.PIArcVal(Data!AD$54,Data!$G58,0,"PI_SERVER","exact time")),"",_xll.PIArcVal(Data!AD$54,Data!$G58,0,"PI_SERVER","exact time"))</f>
        <v/>
      </c>
      <c r="AE58" s="163" t="str">
        <f>IF(ISTEXT(_xll.PIArcVal(Data!AE$54,Data!$G58,0,"PI_SERVER","exact time")),"",_xll.PIArcVal(Data!AE$54,Data!$G58,0,"PI_SERVER","exact time"))</f>
        <v/>
      </c>
      <c r="AF58" s="163" t="str">
        <f>IF(ISTEXT(_xll.PIArcVal(Data!AF$54,Data!$G58,0,"PI_SERVER","exact time")),"",_xll.PIArcVal(Data!AF$54,Data!$G58,0,"PI_SERVER","exact time"))</f>
        <v/>
      </c>
      <c r="AG58" s="163" t="str">
        <f>IF(ISTEXT(_xll.PIArcVal(Data!AG$54,Data!$G58,0,"PI_SERVER","exact time")),"",_xll.PIArcVal(Data!AG$54,Data!$G58,0,"PI_SERVER","exact time"))</f>
        <v/>
      </c>
      <c r="AH58" s="156" t="str">
        <f t="shared" ref="AH58:AH67" si="95">IF(AL58=1,SUM(T58:AF58),"")</f>
        <v/>
      </c>
      <c r="AI58" s="66" t="str">
        <f>IF(ISTEXT(_xll.PIArcVal(Data!AI$54,Data!$G58,0,"PI_SERVER","exact time")),"",_xll.PIArcVal(Data!AI$54,Data!$G58,0,"PI_SERVER","exact time"))</f>
        <v/>
      </c>
      <c r="AJ58" s="66" t="str">
        <f>IF(ISTEXT(_xll.PIArcVal(Data!AJ$54,Data!$G58,0,"PI_SERVER","exact time")),"",_xll.PIArcVal(Data!AJ$54,Data!$G58,0,"PI_SERVER","exact time"))</f>
        <v/>
      </c>
      <c r="AK58" s="66" t="str">
        <f>IF(ISTEXT(_xll.PIArcVal(Data!AK$54,Data!$G58,0,"PI_SERVER","exact time")),"",_xll.PIArcVal(Data!AK$54,Data!$G58,0,"PI_SERVER","exact time"))</f>
        <v/>
      </c>
      <c r="AL58" s="69">
        <f>IF(OR(G58=" ",G58="",ISTEXT(G58)), 0,1)</f>
        <v>0</v>
      </c>
      <c r="AM58" s="18"/>
      <c r="AN58" s="18"/>
    </row>
    <row r="59" spans="7:76" ht="20.25" x14ac:dyDescent="0.25">
      <c r="G59" s="64"/>
      <c r="H59" s="65"/>
      <c r="I59" s="157" t="str">
        <f>IF(ISTEXT(_xll.PIArcVal(Data!I$54,Data!$G59,0,"PI_SERVER","exact time")),"",_xll.PIArcVal(Data!I$54,Data!$G59,0,"PI_SERVER","exact time"))</f>
        <v/>
      </c>
      <c r="J59" s="157" t="str">
        <f>IF(ISTEXT(_xll.PIArcVal(Data!J$54,Data!$G59,0,"PI_SERVER","exact time")),"",_xll.PIArcVal(Data!J$54,Data!$G59,0,"PI_SERVER","exact time"))</f>
        <v/>
      </c>
      <c r="K59" s="157" t="str">
        <f t="shared" ref="K59:K67" si="96">IFERROR(I59-J59,"")</f>
        <v/>
      </c>
      <c r="L59" s="157" t="str">
        <f>IF(ISTEXT(_xll.PIArcVal(Data!L$54,Data!$G59,0,"PI_SERVER","exact time")),"",_xll.PIArcVal(Data!L$54,Data!$G59,0,"PI_SERVER","exact time"))</f>
        <v/>
      </c>
      <c r="M59" s="157" t="str">
        <f>IF(ISTEXT(_xll.PIArcVal(Data!M$54,Data!$G59,0,"PI_SERVER","exact time")),"",_xll.PIArcVal(Data!M$54,Data!$G59,0,"PI_SERVER","exact time"))</f>
        <v/>
      </c>
      <c r="N59" s="157" t="str">
        <f t="shared" ref="N59:N67" si="97">IFERROR(L59-M59,"")</f>
        <v/>
      </c>
      <c r="O59" s="163" t="str">
        <f>IF(ISTEXT(_xll.PIArcVal(Data!O$54,Data!$G59,0,"PI_SERVER","exact time")),"",_xll.PIArcVal(Data!O$54,Data!$G59,0,"PI_SERVER","exact time"))</f>
        <v/>
      </c>
      <c r="P59" s="163" t="str">
        <f>IF(ISTEXT(_xll.PIArcVal(Data!P$54,Data!$G59,0,"PI_SERVER","exact time")),"",_xll.PIArcVal(Data!P$54,Data!$G59,0,"PI_SERVER","exact time"))</f>
        <v/>
      </c>
      <c r="Q59" s="163" t="str">
        <f>IF(ISTEXT(_xll.PIArcVal(Data!Q$54,Data!$G59,0,"PI_SERVER","exact time")),"",_xll.PIArcVal(Data!Q$54,Data!$G59,0,"PI_SERVER","exact time"))</f>
        <v/>
      </c>
      <c r="R59" s="163" t="str">
        <f>IF(ISTEXT(_xll.PIArcVal(Data!R$54,Data!$G59,0,"PI_SERVER","exact time")),"",_xll.PIArcVal(Data!R$54,Data!$G59,0,"PI_SERVER","exact time"))</f>
        <v/>
      </c>
      <c r="S59" s="163"/>
      <c r="T59" s="163" t="str">
        <f>IF(ISTEXT(_xll.PIArcVal(Data!T$54,Data!$G59,0,"PI_SERVER","exact time")),"",_xll.PIArcVal(Data!T$54,Data!$G59,0,"PI_SERVER","exact time"))</f>
        <v/>
      </c>
      <c r="U59" s="163" t="str">
        <f>IF(ISTEXT(_xll.PIArcVal(Data!U$54,Data!$G59,0,"PI_SERVER","exact time")),"",_xll.PIArcVal(Data!U$54,Data!$G59,0,"PI_SERVER","exact time"))</f>
        <v/>
      </c>
      <c r="V59" s="163" t="str">
        <f>IF(ISTEXT(_xll.PIArcVal(Data!V$54,Data!$G59,0,"PI_SERVER","exact time")),"",_xll.PIArcVal(Data!V$54,Data!$G59,0,"PI_SERVER","exact time"))</f>
        <v/>
      </c>
      <c r="W59" s="163" t="str">
        <f>IF(ISTEXT(_xll.PIArcVal(Data!W$54,Data!$G59,0,"PI_SERVER","exact time")),"",_xll.PIArcVal(Data!W$54,Data!$G59,0,"PI_SERVER","exact time"))</f>
        <v/>
      </c>
      <c r="X59" s="163" t="str">
        <f>IF(ISTEXT(_xll.PIArcVal(Data!X$54,Data!$G59,0,"PI_SERVER","exact time")),"",_xll.PIArcVal(Data!X$54,Data!$G59,0,"PI_SERVER","exact time"))</f>
        <v/>
      </c>
      <c r="Y59" s="163" t="str">
        <f>IF(ISTEXT(_xll.PIArcVal(Data!Y$54,Data!$G59,0,"PI_SERVER","exact time")),"",_xll.PIArcVal(Data!Y$54,Data!$G59,0,"PI_SERVER","exact time"))</f>
        <v/>
      </c>
      <c r="Z59" s="163" t="str">
        <f>IF(ISTEXT(_xll.PIArcVal(Data!Z$54,Data!$G59,0,"PI_SERVER","exact time")),"",_xll.PIArcVal(Data!Z$54,Data!$G59,0,"PI_SERVER","exact time"))</f>
        <v/>
      </c>
      <c r="AA59" s="163" t="str">
        <f>IF(ISTEXT(_xll.PIArcVal(Data!AA$54,Data!$G59,0,"PI_SERVER","exact time")),"",_xll.PIArcVal(Data!AA$54,Data!$G59,0,"PI_SERVER","exact time"))</f>
        <v/>
      </c>
      <c r="AB59" s="163" t="str">
        <f>IF(ISTEXT(_xll.PIArcVal(Data!AB$54,Data!$G59,0,"PI_SERVER","exact time")),"",_xll.PIArcVal(Data!AB$54,Data!$G59,0,"PI_SERVER","exact time"))</f>
        <v/>
      </c>
      <c r="AC59" s="163" t="str">
        <f>IF(ISTEXT(_xll.PIArcVal(Data!AC$54,Data!$G59,0,"PI_SERVER","exact time")),"",_xll.PIArcVal(Data!AC$54,Data!$G59,0,"PI_SERVER","exact time"))</f>
        <v/>
      </c>
      <c r="AD59" s="163" t="str">
        <f>IF(ISTEXT(_xll.PIArcVal(Data!AD$54,Data!$G59,0,"PI_SERVER","exact time")),"",_xll.PIArcVal(Data!AD$54,Data!$G59,0,"PI_SERVER","exact time"))</f>
        <v/>
      </c>
      <c r="AE59" s="163" t="str">
        <f>IF(ISTEXT(_xll.PIArcVal(Data!AE$54,Data!$G59,0,"PI_SERVER","exact time")),"",_xll.PIArcVal(Data!AE$54,Data!$G59,0,"PI_SERVER","exact time"))</f>
        <v/>
      </c>
      <c r="AF59" s="163" t="str">
        <f>IF(ISTEXT(_xll.PIArcVal(Data!AF$54,Data!$G59,0,"PI_SERVER","exact time")),"",_xll.PIArcVal(Data!AF$54,Data!$G59,0,"PI_SERVER","exact time"))</f>
        <v/>
      </c>
      <c r="AG59" s="163" t="str">
        <f>IF(ISTEXT(_xll.PIArcVal(Data!AG$54,Data!$G59,0,"PI_SERVER","exact time")),"",_xll.PIArcVal(Data!AG$54,Data!$G59,0,"PI_SERVER","exact time"))</f>
        <v/>
      </c>
      <c r="AH59" s="156" t="str">
        <f t="shared" si="95"/>
        <v/>
      </c>
      <c r="AI59" s="66" t="str">
        <f>IF(ISTEXT(_xll.PIArcVal(Data!AI$54,Data!$G59,0,"PI_SERVER","exact time")),"",_xll.PIArcVal(Data!AI$54,Data!$G59,0,"PI_SERVER","exact time"))</f>
        <v/>
      </c>
      <c r="AJ59" s="66" t="str">
        <f>IF(ISTEXT(_xll.PIArcVal(Data!AJ$54,Data!$G59,0,"PI_SERVER","exact time")),"",_xll.PIArcVal(Data!AJ$54,Data!$G59,0,"PI_SERVER","exact time"))</f>
        <v/>
      </c>
      <c r="AK59" s="66" t="str">
        <f>IF(ISTEXT(_xll.PIArcVal(Data!AK$54,Data!$G59,0,"PI_SERVER","exact time")),"",_xll.PIArcVal(Data!AK$54,Data!$G59,0,"PI_SERVER","exact time"))</f>
        <v/>
      </c>
      <c r="AL59" s="69">
        <f t="shared" ref="AL59:AL67" si="98">IF(OR(G59=" ",G59="",ISTEXT(G59)), 0,1)</f>
        <v>0</v>
      </c>
      <c r="AM59" s="18"/>
      <c r="AN59" s="18"/>
      <c r="AO59" s="22"/>
      <c r="AQ59" s="8"/>
    </row>
    <row r="60" spans="7:76" ht="20.25" x14ac:dyDescent="0.25">
      <c r="G60" s="64"/>
      <c r="H60" s="65"/>
      <c r="I60" s="122" t="str">
        <f>IF(ISTEXT(_xll.PIArcVal(Data!I$54,Data!$G60,0,"PI_SERVER","exact time")),"",_xll.PIArcVal(Data!I$54,Data!$G60,0,"PI_SERVER","exact time"))</f>
        <v/>
      </c>
      <c r="J60" s="122" t="str">
        <f>IF(ISTEXT(_xll.PIArcVal(Data!J$54,Data!$G60,0,"PI_SERVER","exact time")),"",_xll.PIArcVal(Data!J$54,Data!$G60,0,"PI_SERVER","exact time"))</f>
        <v/>
      </c>
      <c r="K60" s="122" t="str">
        <f t="shared" si="96"/>
        <v/>
      </c>
      <c r="L60" s="122" t="str">
        <f>IF(ISTEXT(_xll.PIArcVal(Data!L$54,Data!$G60,0,"PI_SERVER","exact time")),"",_xll.PIArcVal(Data!L$54,Data!$G60,0,"PI_SERVER","exact time"))</f>
        <v/>
      </c>
      <c r="M60" s="122" t="str">
        <f>IF(ISTEXT(_xll.PIArcVal(Data!M$54,Data!$G60,0,"PI_SERVER","exact time")),"",_xll.PIArcVal(Data!M$54,Data!$G60,0,"PI_SERVER","exact time"))</f>
        <v/>
      </c>
      <c r="N60" s="122" t="str">
        <f t="shared" si="97"/>
        <v/>
      </c>
      <c r="O60" s="123" t="str">
        <f>IF(ISTEXT(_xll.PIArcVal(Data!O$54,Data!$G60,0,"PI_SERVER","exact time")),"",_xll.PIArcVal(Data!O$54,Data!$G60,0,"PI_SERVER","exact time"))</f>
        <v/>
      </c>
      <c r="P60" s="123" t="str">
        <f>IF(ISTEXT(_xll.PIArcVal(Data!P$54,Data!$G60,0,"PI_SERVER","exact time")),"",_xll.PIArcVal(Data!P$54,Data!$G60,0,"PI_SERVER","exact time"))</f>
        <v/>
      </c>
      <c r="Q60" s="123" t="str">
        <f>IF(ISTEXT(_xll.PIArcVal(Data!Q$54,Data!$G60,0,"PI_SERVER","exact time")),"",_xll.PIArcVal(Data!Q$54,Data!$G60,0,"PI_SERVER","exact time"))</f>
        <v/>
      </c>
      <c r="R60" s="123" t="str">
        <f>IF(ISTEXT(_xll.PIArcVal(Data!R$54,Data!$G60,0,"PI_SERVER","exact time")),"",_xll.PIArcVal(Data!R$54,Data!$G60,0,"PI_SERVER","exact time"))</f>
        <v/>
      </c>
      <c r="S60" s="123"/>
      <c r="T60" s="123" t="str">
        <f>IF(ISTEXT(_xll.PIArcVal(Data!T$54,Data!$G60,0,"PI_SERVER","exact time")),"",_xll.PIArcVal(Data!T$54,Data!$G60,0,"PI_SERVER","exact time"))</f>
        <v/>
      </c>
      <c r="U60" s="123" t="str">
        <f>IF(ISTEXT(_xll.PIArcVal(Data!U$54,Data!$G60,0,"PI_SERVER","exact time")),"",_xll.PIArcVal(Data!U$54,Data!$G60,0,"PI_SERVER","exact time"))</f>
        <v/>
      </c>
      <c r="V60" s="123" t="str">
        <f>IF(ISTEXT(_xll.PIArcVal(Data!V$54,Data!$G60,0,"PI_SERVER","exact time")),"",_xll.PIArcVal(Data!V$54,Data!$G60,0,"PI_SERVER","exact time"))</f>
        <v/>
      </c>
      <c r="W60" s="123" t="str">
        <f>IF(ISTEXT(_xll.PIArcVal(Data!W$54,Data!$G60,0,"PI_SERVER","exact time")),"",_xll.PIArcVal(Data!W$54,Data!$G60,0,"PI_SERVER","exact time"))</f>
        <v/>
      </c>
      <c r="X60" s="123" t="str">
        <f>IF(ISTEXT(_xll.PIArcVal(Data!X$54,Data!$G60,0,"PI_SERVER","exact time")),"",_xll.PIArcVal(Data!X$54,Data!$G60,0,"PI_SERVER","exact time"))</f>
        <v/>
      </c>
      <c r="Y60" s="123" t="str">
        <f>IF(ISTEXT(_xll.PIArcVal(Data!Y$54,Data!$G60,0,"PI_SERVER","exact time")),"",_xll.PIArcVal(Data!Y$54,Data!$G60,0,"PI_SERVER","exact time"))</f>
        <v/>
      </c>
      <c r="Z60" s="123" t="str">
        <f>IF(ISTEXT(_xll.PIArcVal(Data!Z$54,Data!$G60,0,"PI_SERVER","exact time")),"",_xll.PIArcVal(Data!Z$54,Data!$G60,0,"PI_SERVER","exact time"))</f>
        <v/>
      </c>
      <c r="AA60" s="123" t="str">
        <f>IF(ISTEXT(_xll.PIArcVal(Data!AA$54,Data!$G60,0,"PI_SERVER","exact time")),"",_xll.PIArcVal(Data!AA$54,Data!$G60,0,"PI_SERVER","exact time"))</f>
        <v/>
      </c>
      <c r="AB60" s="123" t="str">
        <f>IF(ISTEXT(_xll.PIArcVal(Data!AB$54,Data!$G60,0,"PI_SERVER","exact time")),"",_xll.PIArcVal(Data!AB$54,Data!$G60,0,"PI_SERVER","exact time"))</f>
        <v/>
      </c>
      <c r="AC60" s="123" t="str">
        <f>IF(ISTEXT(_xll.PIArcVal(Data!AC$54,Data!$G60,0,"PI_SERVER","exact time")),"",_xll.PIArcVal(Data!AC$54,Data!$G60,0,"PI_SERVER","exact time"))</f>
        <v/>
      </c>
      <c r="AD60" s="123" t="str">
        <f>IF(ISTEXT(_xll.PIArcVal(Data!AD$54,Data!$G60,0,"PI_SERVER","exact time")),"",_xll.PIArcVal(Data!AD$54,Data!$G60,0,"PI_SERVER","exact time"))</f>
        <v/>
      </c>
      <c r="AE60" s="123" t="str">
        <f>IF(ISTEXT(_xll.PIArcVal(Data!AE$54,Data!$G60,0,"PI_SERVER","exact time")),"",_xll.PIArcVal(Data!AE$54,Data!$G60,0,"PI_SERVER","exact time"))</f>
        <v/>
      </c>
      <c r="AF60" s="123" t="str">
        <f>IF(ISTEXT(_xll.PIArcVal(Data!AF$54,Data!$G60,0,"PI_SERVER","exact time")),"",_xll.PIArcVal(Data!AF$54,Data!$G60,0,"PI_SERVER","exact time"))</f>
        <v/>
      </c>
      <c r="AG60" s="123" t="str">
        <f>IF(ISTEXT(_xll.PIArcVal(Data!AG$54,Data!$G60,0,"PI_SERVER","exact time")),"",_xll.PIArcVal(Data!AG$54,Data!$G60,0,"PI_SERVER","exact time"))</f>
        <v/>
      </c>
      <c r="AH60" s="124" t="str">
        <f t="shared" si="95"/>
        <v/>
      </c>
      <c r="AI60" s="66" t="str">
        <f>IF(ISTEXT(_xll.PIArcVal(Data!AI$54,Data!$G60,0,"PI_SERVER","exact time")),"",_xll.PIArcVal(Data!AI$54,Data!$G60,0,"PI_SERVER","exact time"))</f>
        <v/>
      </c>
      <c r="AJ60" s="66" t="str">
        <f>IF(ISTEXT(_xll.PIArcVal(Data!AJ$54,Data!$G60,0,"PI_SERVER","exact time")),"",_xll.PIArcVal(Data!AJ$54,Data!$G60,0,"PI_SERVER","exact time"))</f>
        <v/>
      </c>
      <c r="AK60" s="66" t="str">
        <f>IF(ISTEXT(_xll.PIArcVal(Data!AK$54,Data!$G60,0,"PI_SERVER","exact time")),"",_xll.PIArcVal(Data!AK$54,Data!$G60,0,"PI_SERVER","exact time"))</f>
        <v/>
      </c>
      <c r="AL60" s="69">
        <f t="shared" si="98"/>
        <v>0</v>
      </c>
      <c r="AM60" s="18"/>
      <c r="AN60" s="18"/>
    </row>
    <row r="61" spans="7:76" ht="20.25" x14ac:dyDescent="0.25">
      <c r="G61" s="64"/>
      <c r="H61" s="65"/>
      <c r="I61" s="122" t="str">
        <f>IF(ISTEXT(_xll.PIArcVal(Data!I$54,Data!$G61,0,"PI_SERVER","exact time")),"",_xll.PIArcVal(Data!I$54,Data!$G61,0,"PI_SERVER","exact time"))</f>
        <v/>
      </c>
      <c r="J61" s="122" t="str">
        <f>IF(ISTEXT(_xll.PIArcVal(Data!J$54,Data!$G61,0,"PI_SERVER","exact time")),"",_xll.PIArcVal(Data!J$54,Data!$G61,0,"PI_SERVER","exact time"))</f>
        <v/>
      </c>
      <c r="K61" s="122" t="str">
        <f t="shared" si="96"/>
        <v/>
      </c>
      <c r="L61" s="122" t="str">
        <f>IF(ISTEXT(_xll.PIArcVal(Data!L$54,Data!$G61,0,"PI_SERVER","exact time")),"",_xll.PIArcVal(Data!L$54,Data!$G61,0,"PI_SERVER","exact time"))</f>
        <v/>
      </c>
      <c r="M61" s="122" t="str">
        <f>IF(ISTEXT(_xll.PIArcVal(Data!M$54,Data!$G61,0,"PI_SERVER","exact time")),"",_xll.PIArcVal(Data!M$54,Data!$G61,0,"PI_SERVER","exact time"))</f>
        <v/>
      </c>
      <c r="N61" s="122" t="str">
        <f t="shared" si="97"/>
        <v/>
      </c>
      <c r="O61" s="123" t="str">
        <f>IF(ISTEXT(_xll.PIArcVal(Data!O$54,Data!$G61,0,"PI_SERVER","exact time")),"",_xll.PIArcVal(Data!O$54,Data!$G61,0,"PI_SERVER","exact time"))</f>
        <v/>
      </c>
      <c r="P61" s="123" t="str">
        <f>IF(ISTEXT(_xll.PIArcVal(Data!P$54,Data!$G61,0,"PI_SERVER","exact time")),"",_xll.PIArcVal(Data!P$54,Data!$G61,0,"PI_SERVER","exact time"))</f>
        <v/>
      </c>
      <c r="Q61" s="123" t="str">
        <f>IF(ISTEXT(_xll.PIArcVal(Data!Q$54,Data!$G61,0,"PI_SERVER","exact time")),"",_xll.PIArcVal(Data!Q$54,Data!$G61,0,"PI_SERVER","exact time"))</f>
        <v/>
      </c>
      <c r="R61" s="123" t="str">
        <f>IF(ISTEXT(_xll.PIArcVal(Data!R$54,Data!$G61,0,"PI_SERVER","exact time")),"",_xll.PIArcVal(Data!R$54,Data!$G61,0,"PI_SERVER","exact time"))</f>
        <v/>
      </c>
      <c r="S61" s="123"/>
      <c r="T61" s="123" t="str">
        <f>IF(ISTEXT(_xll.PIArcVal(Data!T$54,Data!$G61,0,"PI_SERVER","exact time")),"",_xll.PIArcVal(Data!T$54,Data!$G61,0,"PI_SERVER","exact time"))</f>
        <v/>
      </c>
      <c r="U61" s="123" t="str">
        <f>IF(ISTEXT(_xll.PIArcVal(Data!U$54,Data!$G61,0,"PI_SERVER","exact time")),"",_xll.PIArcVal(Data!U$54,Data!$G61,0,"PI_SERVER","exact time"))</f>
        <v/>
      </c>
      <c r="V61" s="123" t="str">
        <f>IF(ISTEXT(_xll.PIArcVal(Data!V$54,Data!$G61,0,"PI_SERVER","exact time")),"",_xll.PIArcVal(Data!V$54,Data!$G61,0,"PI_SERVER","exact time"))</f>
        <v/>
      </c>
      <c r="W61" s="123" t="str">
        <f>IF(ISTEXT(_xll.PIArcVal(Data!W$54,Data!$G61,0,"PI_SERVER","exact time")),"",_xll.PIArcVal(Data!W$54,Data!$G61,0,"PI_SERVER","exact time"))</f>
        <v/>
      </c>
      <c r="X61" s="123" t="str">
        <f>IF(ISTEXT(_xll.PIArcVal(Data!X$54,Data!$G61,0,"PI_SERVER","exact time")),"",_xll.PIArcVal(Data!X$54,Data!$G61,0,"PI_SERVER","exact time"))</f>
        <v/>
      </c>
      <c r="Y61" s="123" t="str">
        <f>IF(ISTEXT(_xll.PIArcVal(Data!Y$54,Data!$G61,0,"PI_SERVER","exact time")),"",_xll.PIArcVal(Data!Y$54,Data!$G61,0,"PI_SERVER","exact time"))</f>
        <v/>
      </c>
      <c r="Z61" s="123" t="str">
        <f>IF(ISTEXT(_xll.PIArcVal(Data!Z$54,Data!$G61,0,"PI_SERVER","exact time")),"",_xll.PIArcVal(Data!Z$54,Data!$G61,0,"PI_SERVER","exact time"))</f>
        <v/>
      </c>
      <c r="AA61" s="123" t="str">
        <f>IF(ISTEXT(_xll.PIArcVal(Data!AA$54,Data!$G61,0,"PI_SERVER","exact time")),"",_xll.PIArcVal(Data!AA$54,Data!$G61,0,"PI_SERVER","exact time"))</f>
        <v/>
      </c>
      <c r="AB61" s="123" t="str">
        <f>IF(ISTEXT(_xll.PIArcVal(Data!AB$54,Data!$G61,0,"PI_SERVER","exact time")),"",_xll.PIArcVal(Data!AB$54,Data!$G61,0,"PI_SERVER","exact time"))</f>
        <v/>
      </c>
      <c r="AC61" s="123" t="str">
        <f>IF(ISTEXT(_xll.PIArcVal(Data!AC$54,Data!$G61,0,"PI_SERVER","exact time")),"",_xll.PIArcVal(Data!AC$54,Data!$G61,0,"PI_SERVER","exact time"))</f>
        <v/>
      </c>
      <c r="AD61" s="123" t="str">
        <f>IF(ISTEXT(_xll.PIArcVal(Data!AD$54,Data!$G61,0,"PI_SERVER","exact time")),"",_xll.PIArcVal(Data!AD$54,Data!$G61,0,"PI_SERVER","exact time"))</f>
        <v/>
      </c>
      <c r="AE61" s="123" t="str">
        <f>IF(ISTEXT(_xll.PIArcVal(Data!AE$54,Data!$G61,0,"PI_SERVER","exact time")),"",_xll.PIArcVal(Data!AE$54,Data!$G61,0,"PI_SERVER","exact time"))</f>
        <v/>
      </c>
      <c r="AF61" s="123" t="str">
        <f>IF(ISTEXT(_xll.PIArcVal(Data!AF$54,Data!$G61,0,"PI_SERVER","exact time")),"",_xll.PIArcVal(Data!AF$54,Data!$G61,0,"PI_SERVER","exact time"))</f>
        <v/>
      </c>
      <c r="AG61" s="123" t="str">
        <f>IF(ISTEXT(_xll.PIArcVal(Data!AG$54,Data!$G61,0,"PI_SERVER","exact time")),"",_xll.PIArcVal(Data!AG$54,Data!$G61,0,"PI_SERVER","exact time"))</f>
        <v/>
      </c>
      <c r="AH61" s="124" t="str">
        <f t="shared" si="95"/>
        <v/>
      </c>
      <c r="AI61" s="66" t="str">
        <f>IF(ISTEXT(_xll.PIArcVal(Data!AI$54,Data!$G61,0,"PI_SERVER","exact time")),"",_xll.PIArcVal(Data!AI$54,Data!$G61,0,"PI_SERVER","exact time"))</f>
        <v/>
      </c>
      <c r="AJ61" s="66" t="str">
        <f>IF(ISTEXT(_xll.PIArcVal(Data!AJ$54,Data!$G61,0,"PI_SERVER","exact time")),"",_xll.PIArcVal(Data!AJ$54,Data!$G61,0,"PI_SERVER","exact time"))</f>
        <v/>
      </c>
      <c r="AK61" s="66" t="str">
        <f>IF(ISTEXT(_xll.PIArcVal(Data!AK$54,Data!$G61,0,"PI_SERVER","exact time")),"",_xll.PIArcVal(Data!AK$54,Data!$G61,0,"PI_SERVER","exact time"))</f>
        <v/>
      </c>
      <c r="AL61" s="69">
        <f t="shared" si="98"/>
        <v>0</v>
      </c>
      <c r="AM61" s="18"/>
      <c r="AN61" s="18"/>
      <c r="AO61" s="18"/>
      <c r="AQ61" s="13"/>
    </row>
    <row r="62" spans="7:76" ht="20.25" x14ac:dyDescent="0.25">
      <c r="G62" s="64"/>
      <c r="H62" s="65"/>
      <c r="I62" s="122" t="str">
        <f>IF(ISTEXT(_xll.PIArcVal(Data!I$54,Data!$G62,0,"PI_SERVER","exact time")),"",_xll.PIArcVal(Data!I$54,Data!$G62,0,"PI_SERVER","exact time"))</f>
        <v/>
      </c>
      <c r="J62" s="122" t="str">
        <f>IF(ISTEXT(_xll.PIArcVal(Data!J$54,Data!$G62,0,"PI_SERVER","exact time")),"",_xll.PIArcVal(Data!J$54,Data!$G62,0,"PI_SERVER","exact time"))</f>
        <v/>
      </c>
      <c r="K62" s="122" t="str">
        <f t="shared" si="96"/>
        <v/>
      </c>
      <c r="L62" s="122" t="str">
        <f>IF(ISTEXT(_xll.PIArcVal(Data!L$54,Data!$G62,0,"PI_SERVER","exact time")),"",_xll.PIArcVal(Data!L$54,Data!$G62,0,"PI_SERVER","exact time"))</f>
        <v/>
      </c>
      <c r="M62" s="122" t="str">
        <f>IF(ISTEXT(_xll.PIArcVal(Data!M$54,Data!$G62,0,"PI_SERVER","exact time")),"",_xll.PIArcVal(Data!M$54,Data!$G62,0,"PI_SERVER","exact time"))</f>
        <v/>
      </c>
      <c r="N62" s="122" t="str">
        <f t="shared" si="97"/>
        <v/>
      </c>
      <c r="O62" s="123" t="str">
        <f>IF(ISTEXT(_xll.PIArcVal(Data!O$54,Data!$G62,0,"PI_SERVER","exact time")),"",_xll.PIArcVal(Data!O$54,Data!$G62,0,"PI_SERVER","exact time"))</f>
        <v/>
      </c>
      <c r="P62" s="123" t="str">
        <f>IF(ISTEXT(_xll.PIArcVal(Data!P$54,Data!$G62,0,"PI_SERVER","exact time")),"",_xll.PIArcVal(Data!P$54,Data!$G62,0,"PI_SERVER","exact time"))</f>
        <v/>
      </c>
      <c r="Q62" s="123" t="str">
        <f>IF(ISTEXT(_xll.PIArcVal(Data!Q$54,Data!$G62,0,"PI_SERVER","exact time")),"",_xll.PIArcVal(Data!Q$54,Data!$G62,0,"PI_SERVER","exact time"))</f>
        <v/>
      </c>
      <c r="R62" s="123" t="str">
        <f>IF(ISTEXT(_xll.PIArcVal(Data!R$54,Data!$G62,0,"PI_SERVER","exact time")),"",_xll.PIArcVal(Data!R$54,Data!$G62,0,"PI_SERVER","exact time"))</f>
        <v/>
      </c>
      <c r="S62" s="123"/>
      <c r="T62" s="123" t="str">
        <f>IF(ISTEXT(_xll.PIArcVal(Data!T$54,Data!$G62,0,"PI_SERVER","exact time")),"",_xll.PIArcVal(Data!T$54,Data!$G62,0,"PI_SERVER","exact time"))</f>
        <v/>
      </c>
      <c r="U62" s="123" t="str">
        <f>IF(ISTEXT(_xll.PIArcVal(Data!U$54,Data!$G62,0,"PI_SERVER","exact time")),"",_xll.PIArcVal(Data!U$54,Data!$G62,0,"PI_SERVER","exact time"))</f>
        <v/>
      </c>
      <c r="V62" s="123" t="str">
        <f>IF(ISTEXT(_xll.PIArcVal(Data!V$54,Data!$G62,0,"PI_SERVER","exact time")),"",_xll.PIArcVal(Data!V$54,Data!$G62,0,"PI_SERVER","exact time"))</f>
        <v/>
      </c>
      <c r="W62" s="123" t="str">
        <f>IF(ISTEXT(_xll.PIArcVal(Data!W$54,Data!$G62,0,"PI_SERVER","exact time")),"",_xll.PIArcVal(Data!W$54,Data!$G62,0,"PI_SERVER","exact time"))</f>
        <v/>
      </c>
      <c r="X62" s="123" t="str">
        <f>IF(ISTEXT(_xll.PIArcVal(Data!X$54,Data!$G62,0,"PI_SERVER","exact time")),"",_xll.PIArcVal(Data!X$54,Data!$G62,0,"PI_SERVER","exact time"))</f>
        <v/>
      </c>
      <c r="Y62" s="123" t="str">
        <f>IF(ISTEXT(_xll.PIArcVal(Data!Y$54,Data!$G62,0,"PI_SERVER","exact time")),"",_xll.PIArcVal(Data!Y$54,Data!$G62,0,"PI_SERVER","exact time"))</f>
        <v/>
      </c>
      <c r="Z62" s="123" t="str">
        <f>IF(ISTEXT(_xll.PIArcVal(Data!Z$54,Data!$G62,0,"PI_SERVER","exact time")),"",_xll.PIArcVal(Data!Z$54,Data!$G62,0,"PI_SERVER","exact time"))</f>
        <v/>
      </c>
      <c r="AA62" s="123" t="str">
        <f>IF(ISTEXT(_xll.PIArcVal(Data!AA$54,Data!$G62,0,"PI_SERVER","exact time")),"",_xll.PIArcVal(Data!AA$54,Data!$G62,0,"PI_SERVER","exact time"))</f>
        <v/>
      </c>
      <c r="AB62" s="123" t="str">
        <f>IF(ISTEXT(_xll.PIArcVal(Data!AB$54,Data!$G62,0,"PI_SERVER","exact time")),"",_xll.PIArcVal(Data!AB$54,Data!$G62,0,"PI_SERVER","exact time"))</f>
        <v/>
      </c>
      <c r="AC62" s="123" t="str">
        <f>IF(ISTEXT(_xll.PIArcVal(Data!AC$54,Data!$G62,0,"PI_SERVER","exact time")),"",_xll.PIArcVal(Data!AC$54,Data!$G62,0,"PI_SERVER","exact time"))</f>
        <v/>
      </c>
      <c r="AD62" s="123" t="str">
        <f>IF(ISTEXT(_xll.PIArcVal(Data!AD$54,Data!$G62,0,"PI_SERVER","exact time")),"",_xll.PIArcVal(Data!AD$54,Data!$G62,0,"PI_SERVER","exact time"))</f>
        <v/>
      </c>
      <c r="AE62" s="123" t="str">
        <f>IF(ISTEXT(_xll.PIArcVal(Data!AE$54,Data!$G62,0,"PI_SERVER","exact time")),"",_xll.PIArcVal(Data!AE$54,Data!$G62,0,"PI_SERVER","exact time"))</f>
        <v/>
      </c>
      <c r="AF62" s="123" t="str">
        <f>IF(ISTEXT(_xll.PIArcVal(Data!AF$54,Data!$G62,0,"PI_SERVER","exact time")),"",_xll.PIArcVal(Data!AF$54,Data!$G62,0,"PI_SERVER","exact time"))</f>
        <v/>
      </c>
      <c r="AG62" s="123" t="str">
        <f>IF(ISTEXT(_xll.PIArcVal(Data!AG$54,Data!$G62,0,"PI_SERVER","exact time")),"",_xll.PIArcVal(Data!AG$54,Data!$G62,0,"PI_SERVER","exact time"))</f>
        <v/>
      </c>
      <c r="AH62" s="124" t="str">
        <f t="shared" si="95"/>
        <v/>
      </c>
      <c r="AI62" s="66" t="str">
        <f>IF(ISTEXT(_xll.PIArcVal(Data!AI$54,Data!$G62,0,"PI_SERVER","exact time")),"",_xll.PIArcVal(Data!AI$54,Data!$G62,0,"PI_SERVER","exact time"))</f>
        <v/>
      </c>
      <c r="AJ62" s="66" t="str">
        <f>IF(ISTEXT(_xll.PIArcVal(Data!AJ$54,Data!$G62,0,"PI_SERVER","exact time")),"",_xll.PIArcVal(Data!AJ$54,Data!$G62,0,"PI_SERVER","exact time"))</f>
        <v/>
      </c>
      <c r="AK62" s="66" t="str">
        <f>IF(ISTEXT(_xll.PIArcVal(Data!AK$54,Data!$G62,0,"PI_SERVER","exact time")),"",_xll.PIArcVal(Data!AK$54,Data!$G62,0,"PI_SERVER","exact time"))</f>
        <v/>
      </c>
      <c r="AL62" s="69">
        <f t="shared" si="98"/>
        <v>0</v>
      </c>
      <c r="AM62" s="18"/>
      <c r="AN62" s="18"/>
      <c r="AO62" s="18"/>
      <c r="AQ62" s="13"/>
    </row>
    <row r="63" spans="7:76" ht="20.25" x14ac:dyDescent="0.25">
      <c r="G63" s="64"/>
      <c r="H63" s="65"/>
      <c r="I63" s="122" t="str">
        <f>IF(ISTEXT(_xll.PIArcVal(Data!I$54,Data!$G63,0,"PI_SERVER","exact time")),"",_xll.PIArcVal(Data!I$54,Data!$G63,0,"PI_SERVER","exact time"))</f>
        <v/>
      </c>
      <c r="J63" s="122" t="str">
        <f>IF(ISTEXT(_xll.PIArcVal(Data!J$54,Data!$G63,0,"PI_SERVER","exact time")),"",_xll.PIArcVal(Data!J$54,Data!$G63,0,"PI_SERVER","exact time"))</f>
        <v/>
      </c>
      <c r="K63" s="122" t="str">
        <f t="shared" si="96"/>
        <v/>
      </c>
      <c r="L63" s="122" t="str">
        <f>IF(ISTEXT(_xll.PIArcVal(Data!L$54,Data!$G63,0,"PI_SERVER","exact time")),"",_xll.PIArcVal(Data!L$54,Data!$G63,0,"PI_SERVER","exact time"))</f>
        <v/>
      </c>
      <c r="M63" s="122" t="str">
        <f>IF(ISTEXT(_xll.PIArcVal(Data!M$54,Data!$G63,0,"PI_SERVER","exact time")),"",_xll.PIArcVal(Data!M$54,Data!$G63,0,"PI_SERVER","exact time"))</f>
        <v/>
      </c>
      <c r="N63" s="122" t="str">
        <f t="shared" si="97"/>
        <v/>
      </c>
      <c r="O63" s="123" t="str">
        <f>IF(ISTEXT(_xll.PIArcVal(Data!O$54,Data!$G63,0,"PI_SERVER","exact time")),"",_xll.PIArcVal(Data!O$54,Data!$G63,0,"PI_SERVER","exact time"))</f>
        <v/>
      </c>
      <c r="P63" s="123" t="str">
        <f>IF(ISTEXT(_xll.PIArcVal(Data!P$54,Data!$G63,0,"PI_SERVER","exact time")),"",_xll.PIArcVal(Data!P$54,Data!$G63,0,"PI_SERVER","exact time"))</f>
        <v/>
      </c>
      <c r="Q63" s="123" t="str">
        <f>IF(ISTEXT(_xll.PIArcVal(Data!Q$54,Data!$G63,0,"PI_SERVER","exact time")),"",_xll.PIArcVal(Data!Q$54,Data!$G63,0,"PI_SERVER","exact time"))</f>
        <v/>
      </c>
      <c r="R63" s="123" t="str">
        <f>IF(ISTEXT(_xll.PIArcVal(Data!R$54,Data!$G63,0,"PI_SERVER","exact time")),"",_xll.PIArcVal(Data!R$54,Data!$G63,0,"PI_SERVER","exact time"))</f>
        <v/>
      </c>
      <c r="S63" s="123"/>
      <c r="T63" s="123" t="str">
        <f>IF(ISTEXT(_xll.PIArcVal(Data!T$54,Data!$G63,0,"PI_SERVER","exact time")),"",_xll.PIArcVal(Data!T$54,Data!$G63,0,"PI_SERVER","exact time"))</f>
        <v/>
      </c>
      <c r="U63" s="123" t="str">
        <f>IF(ISTEXT(_xll.PIArcVal(Data!U$54,Data!$G63,0,"PI_SERVER","exact time")),"",_xll.PIArcVal(Data!U$54,Data!$G63,0,"PI_SERVER","exact time"))</f>
        <v/>
      </c>
      <c r="V63" s="123" t="str">
        <f>IF(ISTEXT(_xll.PIArcVal(Data!V$54,Data!$G63,0,"PI_SERVER","exact time")),"",_xll.PIArcVal(Data!V$54,Data!$G63,0,"PI_SERVER","exact time"))</f>
        <v/>
      </c>
      <c r="W63" s="123" t="str">
        <f>IF(ISTEXT(_xll.PIArcVal(Data!W$54,Data!$G63,0,"PI_SERVER","exact time")),"",_xll.PIArcVal(Data!W$54,Data!$G63,0,"PI_SERVER","exact time"))</f>
        <v/>
      </c>
      <c r="X63" s="123" t="str">
        <f>IF(ISTEXT(_xll.PIArcVal(Data!X$54,Data!$G63,0,"PI_SERVER","exact time")),"",_xll.PIArcVal(Data!X$54,Data!$G63,0,"PI_SERVER","exact time"))</f>
        <v/>
      </c>
      <c r="Y63" s="123" t="str">
        <f>IF(ISTEXT(_xll.PIArcVal(Data!Y$54,Data!$G63,0,"PI_SERVER","exact time")),"",_xll.PIArcVal(Data!Y$54,Data!$G63,0,"PI_SERVER","exact time"))</f>
        <v/>
      </c>
      <c r="Z63" s="123" t="str">
        <f>IF(ISTEXT(_xll.PIArcVal(Data!Z$54,Data!$G63,0,"PI_SERVER","exact time")),"",_xll.PIArcVal(Data!Z$54,Data!$G63,0,"PI_SERVER","exact time"))</f>
        <v/>
      </c>
      <c r="AA63" s="123" t="str">
        <f>IF(ISTEXT(_xll.PIArcVal(Data!AA$54,Data!$G63,0,"PI_SERVER","exact time")),"",_xll.PIArcVal(Data!AA$54,Data!$G63,0,"PI_SERVER","exact time"))</f>
        <v/>
      </c>
      <c r="AB63" s="123" t="str">
        <f>IF(ISTEXT(_xll.PIArcVal(Data!AB$54,Data!$G63,0,"PI_SERVER","exact time")),"",_xll.PIArcVal(Data!AB$54,Data!$G63,0,"PI_SERVER","exact time"))</f>
        <v/>
      </c>
      <c r="AC63" s="123" t="str">
        <f>IF(ISTEXT(_xll.PIArcVal(Data!AC$54,Data!$G63,0,"PI_SERVER","exact time")),"",_xll.PIArcVal(Data!AC$54,Data!$G63,0,"PI_SERVER","exact time"))</f>
        <v/>
      </c>
      <c r="AD63" s="123" t="str">
        <f>IF(ISTEXT(_xll.PIArcVal(Data!AD$54,Data!$G63,0,"PI_SERVER","exact time")),"",_xll.PIArcVal(Data!AD$54,Data!$G63,0,"PI_SERVER","exact time"))</f>
        <v/>
      </c>
      <c r="AE63" s="123" t="str">
        <f>IF(ISTEXT(_xll.PIArcVal(Data!AE$54,Data!$G63,0,"PI_SERVER","exact time")),"",_xll.PIArcVal(Data!AE$54,Data!$G63,0,"PI_SERVER","exact time"))</f>
        <v/>
      </c>
      <c r="AF63" s="123" t="str">
        <f>IF(ISTEXT(_xll.PIArcVal(Data!AF$54,Data!$G63,0,"PI_SERVER","exact time")),"",_xll.PIArcVal(Data!AF$54,Data!$G63,0,"PI_SERVER","exact time"))</f>
        <v/>
      </c>
      <c r="AG63" s="123" t="str">
        <f>IF(ISTEXT(_xll.PIArcVal(Data!AG$54,Data!$G63,0,"PI_SERVER","exact time")),"",_xll.PIArcVal(Data!AG$54,Data!$G63,0,"PI_SERVER","exact time"))</f>
        <v/>
      </c>
      <c r="AH63" s="124" t="str">
        <f t="shared" si="95"/>
        <v/>
      </c>
      <c r="AI63" s="66" t="str">
        <f>IF(ISTEXT(_xll.PIArcVal(Data!AI$54,Data!$G63,0,"PI_SERVER","exact time")),"",_xll.PIArcVal(Data!AI$54,Data!$G63,0,"PI_SERVER","exact time"))</f>
        <v/>
      </c>
      <c r="AJ63" s="66" t="str">
        <f>IF(ISTEXT(_xll.PIArcVal(Data!AJ$54,Data!$G63,0,"PI_SERVER","exact time")),"",_xll.PIArcVal(Data!AJ$54,Data!$G63,0,"PI_SERVER","exact time"))</f>
        <v/>
      </c>
      <c r="AK63" s="66" t="str">
        <f>IF(ISTEXT(_xll.PIArcVal(Data!AK$54,Data!$G63,0,"PI_SERVER","exact time")),"",_xll.PIArcVal(Data!AK$54,Data!$G63,0,"PI_SERVER","exact time"))</f>
        <v/>
      </c>
      <c r="AL63" s="69">
        <f t="shared" si="98"/>
        <v>0</v>
      </c>
      <c r="AM63" s="18"/>
      <c r="AN63" s="18"/>
      <c r="AO63" s="18"/>
      <c r="AQ63" s="13"/>
    </row>
    <row r="64" spans="7:76" ht="20.25" x14ac:dyDescent="0.25">
      <c r="G64" s="64"/>
      <c r="H64" s="65"/>
      <c r="I64" s="122" t="str">
        <f>IF(ISTEXT(_xll.PIArcVal(Data!I$54,Data!$G64,0,"PI_SERVER","exact time")),"",_xll.PIArcVal(Data!I$54,Data!$G64,0,"PI_SERVER","exact time"))</f>
        <v/>
      </c>
      <c r="J64" s="122" t="str">
        <f>IF(ISTEXT(_xll.PIArcVal(Data!J$54,Data!$G64,0,"PI_SERVER","exact time")),"",_xll.PIArcVal(Data!J$54,Data!$G64,0,"PI_SERVER","exact time"))</f>
        <v/>
      </c>
      <c r="K64" s="122" t="str">
        <f t="shared" si="96"/>
        <v/>
      </c>
      <c r="L64" s="122" t="str">
        <f>IF(ISTEXT(_xll.PIArcVal(Data!L$54,Data!$G64,0,"PI_SERVER","exact time")),"",_xll.PIArcVal(Data!L$54,Data!$G64,0,"PI_SERVER","exact time"))</f>
        <v/>
      </c>
      <c r="M64" s="122" t="str">
        <f>IF(ISTEXT(_xll.PIArcVal(Data!M$54,Data!$G64,0,"PI_SERVER","exact time")),"",_xll.PIArcVal(Data!M$54,Data!$G64,0,"PI_SERVER","exact time"))</f>
        <v/>
      </c>
      <c r="N64" s="122" t="str">
        <f t="shared" si="97"/>
        <v/>
      </c>
      <c r="O64" s="123" t="str">
        <f>IF(ISTEXT(_xll.PIArcVal(Data!O$54,Data!$G64,0,"PI_SERVER","exact time")),"",_xll.PIArcVal(Data!O$54,Data!$G64,0,"PI_SERVER","exact time"))</f>
        <v/>
      </c>
      <c r="P64" s="123" t="str">
        <f>IF(ISTEXT(_xll.PIArcVal(Data!P$54,Data!$G64,0,"PI_SERVER","exact time")),"",_xll.PIArcVal(Data!P$54,Data!$G64,0,"PI_SERVER","exact time"))</f>
        <v/>
      </c>
      <c r="Q64" s="123" t="str">
        <f>IF(ISTEXT(_xll.PIArcVal(Data!Q$54,Data!$G64,0,"PI_SERVER","exact time")),"",_xll.PIArcVal(Data!Q$54,Data!$G64,0,"PI_SERVER","exact time"))</f>
        <v/>
      </c>
      <c r="R64" s="123" t="str">
        <f>IF(ISTEXT(_xll.PIArcVal(Data!R$54,Data!$G64,0,"PI_SERVER","exact time")),"",_xll.PIArcVal(Data!R$54,Data!$G64,0,"PI_SERVER","exact time"))</f>
        <v/>
      </c>
      <c r="S64" s="123"/>
      <c r="T64" s="123" t="str">
        <f>IF(ISTEXT(_xll.PIArcVal(Data!T$54,Data!$G64,0,"PI_SERVER","exact time")),"",_xll.PIArcVal(Data!T$54,Data!$G64,0,"PI_SERVER","exact time"))</f>
        <v/>
      </c>
      <c r="U64" s="123" t="str">
        <f>IF(ISTEXT(_xll.PIArcVal(Data!U$54,Data!$G64,0,"PI_SERVER","exact time")),"",_xll.PIArcVal(Data!U$54,Data!$G64,0,"PI_SERVER","exact time"))</f>
        <v/>
      </c>
      <c r="V64" s="123" t="str">
        <f>IF(ISTEXT(_xll.PIArcVal(Data!V$54,Data!$G64,0,"PI_SERVER","exact time")),"",_xll.PIArcVal(Data!V$54,Data!$G64,0,"PI_SERVER","exact time"))</f>
        <v/>
      </c>
      <c r="W64" s="123" t="str">
        <f>IF(ISTEXT(_xll.PIArcVal(Data!W$54,Data!$G64,0,"PI_SERVER","exact time")),"",_xll.PIArcVal(Data!W$54,Data!$G64,0,"PI_SERVER","exact time"))</f>
        <v/>
      </c>
      <c r="X64" s="123" t="str">
        <f>IF(ISTEXT(_xll.PIArcVal(Data!X$54,Data!$G64,0,"PI_SERVER","exact time")),"",_xll.PIArcVal(Data!X$54,Data!$G64,0,"PI_SERVER","exact time"))</f>
        <v/>
      </c>
      <c r="Y64" s="123" t="str">
        <f>IF(ISTEXT(_xll.PIArcVal(Data!Y$54,Data!$G64,0,"PI_SERVER","exact time")),"",_xll.PIArcVal(Data!Y$54,Data!$G64,0,"PI_SERVER","exact time"))</f>
        <v/>
      </c>
      <c r="Z64" s="123" t="str">
        <f>IF(ISTEXT(_xll.PIArcVal(Data!Z$54,Data!$G64,0,"PI_SERVER","exact time")),"",_xll.PIArcVal(Data!Z$54,Data!$G64,0,"PI_SERVER","exact time"))</f>
        <v/>
      </c>
      <c r="AA64" s="123" t="str">
        <f>IF(ISTEXT(_xll.PIArcVal(Data!AA$54,Data!$G64,0,"PI_SERVER","exact time")),"",_xll.PIArcVal(Data!AA$54,Data!$G64,0,"PI_SERVER","exact time"))</f>
        <v/>
      </c>
      <c r="AB64" s="123" t="str">
        <f>IF(ISTEXT(_xll.PIArcVal(Data!AB$54,Data!$G64,0,"PI_SERVER","exact time")),"",_xll.PIArcVal(Data!AB$54,Data!$G64,0,"PI_SERVER","exact time"))</f>
        <v/>
      </c>
      <c r="AC64" s="123" t="str">
        <f>IF(ISTEXT(_xll.PIArcVal(Data!AC$54,Data!$G64,0,"PI_SERVER","exact time")),"",_xll.PIArcVal(Data!AC$54,Data!$G64,0,"PI_SERVER","exact time"))</f>
        <v/>
      </c>
      <c r="AD64" s="123" t="str">
        <f>IF(ISTEXT(_xll.PIArcVal(Data!AD$54,Data!$G64,0,"PI_SERVER","exact time")),"",_xll.PIArcVal(Data!AD$54,Data!$G64,0,"PI_SERVER","exact time"))</f>
        <v/>
      </c>
      <c r="AE64" s="123" t="str">
        <f>IF(ISTEXT(_xll.PIArcVal(Data!AE$54,Data!$G64,0,"PI_SERVER","exact time")),"",_xll.PIArcVal(Data!AE$54,Data!$G64,0,"PI_SERVER","exact time"))</f>
        <v/>
      </c>
      <c r="AF64" s="123" t="str">
        <f>IF(ISTEXT(_xll.PIArcVal(Data!AF$54,Data!$G64,0,"PI_SERVER","exact time")),"",_xll.PIArcVal(Data!AF$54,Data!$G64,0,"PI_SERVER","exact time"))</f>
        <v/>
      </c>
      <c r="AG64" s="123" t="str">
        <f>IF(ISTEXT(_xll.PIArcVal(Data!AG$54,Data!$G64,0,"PI_SERVER","exact time")),"",_xll.PIArcVal(Data!AG$54,Data!$G64,0,"PI_SERVER","exact time"))</f>
        <v/>
      </c>
      <c r="AH64" s="124" t="str">
        <f t="shared" si="95"/>
        <v/>
      </c>
      <c r="AI64" s="66" t="str">
        <f>IF(ISTEXT(_xll.PIArcVal(Data!AI$54,Data!$G64,0,"PI_SERVER","exact time")),"",_xll.PIArcVal(Data!AI$54,Data!$G64,0,"PI_SERVER","exact time"))</f>
        <v/>
      </c>
      <c r="AJ64" s="66" t="str">
        <f>IF(ISTEXT(_xll.PIArcVal(Data!AJ$54,Data!$G64,0,"PI_SERVER","exact time")),"",_xll.PIArcVal(Data!AJ$54,Data!$G64,0,"PI_SERVER","exact time"))</f>
        <v/>
      </c>
      <c r="AK64" s="66" t="str">
        <f>IF(ISTEXT(_xll.PIArcVal(Data!AK$54,Data!$G64,0,"PI_SERVER","exact time")),"",_xll.PIArcVal(Data!AK$54,Data!$G64,0,"PI_SERVER","exact time"))</f>
        <v/>
      </c>
      <c r="AL64" s="69">
        <f t="shared" si="98"/>
        <v>0</v>
      </c>
      <c r="AM64" s="18"/>
      <c r="AN64" s="18"/>
      <c r="AO64" s="18"/>
      <c r="AQ64" s="13"/>
    </row>
    <row r="65" spans="7:43" ht="20.25" x14ac:dyDescent="0.25">
      <c r="G65" s="64"/>
      <c r="H65" s="65"/>
      <c r="I65" s="122" t="str">
        <f>IF(ISTEXT(_xll.PIArcVal(Data!I$54,Data!$G65,0,"PI_SERVER","exact time")),"",_xll.PIArcVal(Data!I$54,Data!$G65,0,"PI_SERVER","exact time"))</f>
        <v/>
      </c>
      <c r="J65" s="122" t="str">
        <f>IF(ISTEXT(_xll.PIArcVal(Data!J$54,Data!$G65,0,"PI_SERVER","exact time")),"",_xll.PIArcVal(Data!J$54,Data!$G65,0,"PI_SERVER","exact time"))</f>
        <v/>
      </c>
      <c r="K65" s="122" t="str">
        <f t="shared" si="96"/>
        <v/>
      </c>
      <c r="L65" s="122" t="str">
        <f>IF(ISTEXT(_xll.PIArcVal(Data!L$54,Data!$G65,0,"PI_SERVER","exact time")),"",_xll.PIArcVal(Data!L$54,Data!$G65,0,"PI_SERVER","exact time"))</f>
        <v/>
      </c>
      <c r="M65" s="122" t="str">
        <f>IF(ISTEXT(_xll.PIArcVal(Data!M$54,Data!$G65,0,"PI_SERVER","exact time")),"",_xll.PIArcVal(Data!M$54,Data!$G65,0,"PI_SERVER","exact time"))</f>
        <v/>
      </c>
      <c r="N65" s="122" t="str">
        <f t="shared" si="97"/>
        <v/>
      </c>
      <c r="O65" s="123" t="str">
        <f>IF(ISTEXT(_xll.PIArcVal(Data!O$54,Data!$G65,0,"PI_SERVER","exact time")),"",_xll.PIArcVal(Data!O$54,Data!$G65,0,"PI_SERVER","exact time"))</f>
        <v/>
      </c>
      <c r="P65" s="123" t="str">
        <f>IF(ISTEXT(_xll.PIArcVal(Data!P$54,Data!$G65,0,"PI_SERVER","exact time")),"",_xll.PIArcVal(Data!P$54,Data!$G65,0,"PI_SERVER","exact time"))</f>
        <v/>
      </c>
      <c r="Q65" s="123" t="str">
        <f>IF(ISTEXT(_xll.PIArcVal(Data!Q$54,Data!$G65,0,"PI_SERVER","exact time")),"",_xll.PIArcVal(Data!Q$54,Data!$G65,0,"PI_SERVER","exact time"))</f>
        <v/>
      </c>
      <c r="R65" s="123" t="str">
        <f>IF(ISTEXT(_xll.PIArcVal(Data!R$54,Data!$G65,0,"PI_SERVER","exact time")),"",_xll.PIArcVal(Data!R$54,Data!$G65,0,"PI_SERVER","exact time"))</f>
        <v/>
      </c>
      <c r="S65" s="123"/>
      <c r="T65" s="123" t="str">
        <f>IF(ISTEXT(_xll.PIArcVal(Data!T$54,Data!$G65,0,"PI_SERVER","exact time")),"",_xll.PIArcVal(Data!T$54,Data!$G65,0,"PI_SERVER","exact time"))</f>
        <v/>
      </c>
      <c r="U65" s="123" t="str">
        <f>IF(ISTEXT(_xll.PIArcVal(Data!U$54,Data!$G65,0,"PI_SERVER","exact time")),"",_xll.PIArcVal(Data!U$54,Data!$G65,0,"PI_SERVER","exact time"))</f>
        <v/>
      </c>
      <c r="V65" s="123" t="str">
        <f>IF(ISTEXT(_xll.PIArcVal(Data!V$54,Data!$G65,0,"PI_SERVER","exact time")),"",_xll.PIArcVal(Data!V$54,Data!$G65,0,"PI_SERVER","exact time"))</f>
        <v/>
      </c>
      <c r="W65" s="123" t="str">
        <f>IF(ISTEXT(_xll.PIArcVal(Data!W$54,Data!$G65,0,"PI_SERVER","exact time")),"",_xll.PIArcVal(Data!W$54,Data!$G65,0,"PI_SERVER","exact time"))</f>
        <v/>
      </c>
      <c r="X65" s="123" t="str">
        <f>IF(ISTEXT(_xll.PIArcVal(Data!X$54,Data!$G65,0,"PI_SERVER","exact time")),"",_xll.PIArcVal(Data!X$54,Data!$G65,0,"PI_SERVER","exact time"))</f>
        <v/>
      </c>
      <c r="Y65" s="123" t="str">
        <f>IF(ISTEXT(_xll.PIArcVal(Data!Y$54,Data!$G65,0,"PI_SERVER","exact time")),"",_xll.PIArcVal(Data!Y$54,Data!$G65,0,"PI_SERVER","exact time"))</f>
        <v/>
      </c>
      <c r="Z65" s="123" t="str">
        <f>IF(ISTEXT(_xll.PIArcVal(Data!Z$54,Data!$G65,0,"PI_SERVER","exact time")),"",_xll.PIArcVal(Data!Z$54,Data!$G65,0,"PI_SERVER","exact time"))</f>
        <v/>
      </c>
      <c r="AA65" s="123" t="str">
        <f>IF(ISTEXT(_xll.PIArcVal(Data!AA$54,Data!$G65,0,"PI_SERVER","exact time")),"",_xll.PIArcVal(Data!AA$54,Data!$G65,0,"PI_SERVER","exact time"))</f>
        <v/>
      </c>
      <c r="AB65" s="123" t="str">
        <f>IF(ISTEXT(_xll.PIArcVal(Data!AB$54,Data!$G65,0,"PI_SERVER","exact time")),"",_xll.PIArcVal(Data!AB$54,Data!$G65,0,"PI_SERVER","exact time"))</f>
        <v/>
      </c>
      <c r="AC65" s="123" t="str">
        <f>IF(ISTEXT(_xll.PIArcVal(Data!AC$54,Data!$G65,0,"PI_SERVER","exact time")),"",_xll.PIArcVal(Data!AC$54,Data!$G65,0,"PI_SERVER","exact time"))</f>
        <v/>
      </c>
      <c r="AD65" s="123" t="str">
        <f>IF(ISTEXT(_xll.PIArcVal(Data!AD$54,Data!$G65,0,"PI_SERVER","exact time")),"",_xll.PIArcVal(Data!AD$54,Data!$G65,0,"PI_SERVER","exact time"))</f>
        <v/>
      </c>
      <c r="AE65" s="123" t="str">
        <f>IF(ISTEXT(_xll.PIArcVal(Data!AE$54,Data!$G65,0,"PI_SERVER","exact time")),"",_xll.PIArcVal(Data!AE$54,Data!$G65,0,"PI_SERVER","exact time"))</f>
        <v/>
      </c>
      <c r="AF65" s="123" t="str">
        <f>IF(ISTEXT(_xll.PIArcVal(Data!AF$54,Data!$G65,0,"PI_SERVER","exact time")),"",_xll.PIArcVal(Data!AF$54,Data!$G65,0,"PI_SERVER","exact time"))</f>
        <v/>
      </c>
      <c r="AG65" s="123" t="str">
        <f>IF(ISTEXT(_xll.PIArcVal(Data!AG$54,Data!$G65,0,"PI_SERVER","exact time")),"",_xll.PIArcVal(Data!AG$54,Data!$G65,0,"PI_SERVER","exact time"))</f>
        <v/>
      </c>
      <c r="AH65" s="124" t="str">
        <f t="shared" si="95"/>
        <v/>
      </c>
      <c r="AI65" s="66" t="str">
        <f>IF(ISTEXT(_xll.PIArcVal(Data!AI$54,Data!$G65,0,"PI_SERVER","exact time")),"",_xll.PIArcVal(Data!AI$54,Data!$G65,0,"PI_SERVER","exact time"))</f>
        <v/>
      </c>
      <c r="AJ65" s="66" t="str">
        <f>IF(ISTEXT(_xll.PIArcVal(Data!AJ$54,Data!$G65,0,"PI_SERVER","exact time")),"",_xll.PIArcVal(Data!AJ$54,Data!$G65,0,"PI_SERVER","exact time"))</f>
        <v/>
      </c>
      <c r="AK65" s="66" t="str">
        <f>IF(ISTEXT(_xll.PIArcVal(Data!AK$54,Data!$G65,0,"PI_SERVER","exact time")),"",_xll.PIArcVal(Data!AK$54,Data!$G65,0,"PI_SERVER","exact time"))</f>
        <v/>
      </c>
      <c r="AL65" s="69">
        <f t="shared" si="98"/>
        <v>0</v>
      </c>
      <c r="AM65" s="18"/>
      <c r="AN65" s="18"/>
      <c r="AO65" s="18"/>
      <c r="AQ65" s="13"/>
    </row>
    <row r="66" spans="7:43" ht="20.25" x14ac:dyDescent="0.25">
      <c r="G66" s="64"/>
      <c r="H66" s="65"/>
      <c r="I66" s="122" t="str">
        <f>IF(ISTEXT(_xll.PIArcVal(Data!I$54,Data!$G66,0,"PI_SERVER","exact time")),"",_xll.PIArcVal(Data!I$54,Data!$G66,0,"PI_SERVER","exact time"))</f>
        <v/>
      </c>
      <c r="J66" s="122" t="str">
        <f>IF(ISTEXT(_xll.PIArcVal(Data!J$54,Data!$G66,0,"PI_SERVER","exact time")),"",_xll.PIArcVal(Data!J$54,Data!$G66,0,"PI_SERVER","exact time"))</f>
        <v/>
      </c>
      <c r="K66" s="122" t="str">
        <f t="shared" si="96"/>
        <v/>
      </c>
      <c r="L66" s="122" t="str">
        <f>IF(ISTEXT(_xll.PIArcVal(Data!L$54,Data!$G66,0,"PI_SERVER","exact time")),"",_xll.PIArcVal(Data!L$54,Data!$G66,0,"PI_SERVER","exact time"))</f>
        <v/>
      </c>
      <c r="M66" s="122" t="str">
        <f>IF(ISTEXT(_xll.PIArcVal(Data!M$54,Data!$G66,0,"PI_SERVER","exact time")),"",_xll.PIArcVal(Data!M$54,Data!$G66,0,"PI_SERVER","exact time"))</f>
        <v/>
      </c>
      <c r="N66" s="122" t="str">
        <f t="shared" si="97"/>
        <v/>
      </c>
      <c r="O66" s="123" t="str">
        <f>IF(ISTEXT(_xll.PIArcVal(Data!O$54,Data!$G66,0,"PI_SERVER","exact time")),"",_xll.PIArcVal(Data!O$54,Data!$G66,0,"PI_SERVER","exact time"))</f>
        <v/>
      </c>
      <c r="P66" s="123" t="str">
        <f>IF(ISTEXT(_xll.PIArcVal(Data!P$54,Data!$G66,0,"PI_SERVER","exact time")),"",_xll.PIArcVal(Data!P$54,Data!$G66,0,"PI_SERVER","exact time"))</f>
        <v/>
      </c>
      <c r="Q66" s="123" t="str">
        <f>IF(ISTEXT(_xll.PIArcVal(Data!Q$54,Data!$G66,0,"PI_SERVER","exact time")),"",_xll.PIArcVal(Data!Q$54,Data!$G66,0,"PI_SERVER","exact time"))</f>
        <v/>
      </c>
      <c r="R66" s="123" t="str">
        <f>IF(ISTEXT(_xll.PIArcVal(Data!R$54,Data!$G66,0,"PI_SERVER","exact time")),"",_xll.PIArcVal(Data!R$54,Data!$G66,0,"PI_SERVER","exact time"))</f>
        <v/>
      </c>
      <c r="S66" s="123"/>
      <c r="T66" s="123" t="str">
        <f>IF(ISTEXT(_xll.PIArcVal(Data!T$54,Data!$G66,0,"PI_SERVER","exact time")),"",_xll.PIArcVal(Data!T$54,Data!$G66,0,"PI_SERVER","exact time"))</f>
        <v/>
      </c>
      <c r="U66" s="123" t="str">
        <f>IF(ISTEXT(_xll.PIArcVal(Data!U$54,Data!$G66,0,"PI_SERVER","exact time")),"",_xll.PIArcVal(Data!U$54,Data!$G66,0,"PI_SERVER","exact time"))</f>
        <v/>
      </c>
      <c r="V66" s="123" t="str">
        <f>IF(ISTEXT(_xll.PIArcVal(Data!V$54,Data!$G66,0,"PI_SERVER","exact time")),"",_xll.PIArcVal(Data!V$54,Data!$G66,0,"PI_SERVER","exact time"))</f>
        <v/>
      </c>
      <c r="W66" s="123" t="str">
        <f>IF(ISTEXT(_xll.PIArcVal(Data!W$54,Data!$G66,0,"PI_SERVER","exact time")),"",_xll.PIArcVal(Data!W$54,Data!$G66,0,"PI_SERVER","exact time"))</f>
        <v/>
      </c>
      <c r="X66" s="123" t="str">
        <f>IF(ISTEXT(_xll.PIArcVal(Data!X$54,Data!$G66,0,"PI_SERVER","exact time")),"",_xll.PIArcVal(Data!X$54,Data!$G66,0,"PI_SERVER","exact time"))</f>
        <v/>
      </c>
      <c r="Y66" s="123" t="str">
        <f>IF(ISTEXT(_xll.PIArcVal(Data!Y$54,Data!$G66,0,"PI_SERVER","exact time")),"",_xll.PIArcVal(Data!Y$54,Data!$G66,0,"PI_SERVER","exact time"))</f>
        <v/>
      </c>
      <c r="Z66" s="123" t="str">
        <f>IF(ISTEXT(_xll.PIArcVal(Data!Z$54,Data!$G66,0,"PI_SERVER","exact time")),"",_xll.PIArcVal(Data!Z$54,Data!$G66,0,"PI_SERVER","exact time"))</f>
        <v/>
      </c>
      <c r="AA66" s="123" t="str">
        <f>IF(ISTEXT(_xll.PIArcVal(Data!AA$54,Data!$G66,0,"PI_SERVER","exact time")),"",_xll.PIArcVal(Data!AA$54,Data!$G66,0,"PI_SERVER","exact time"))</f>
        <v/>
      </c>
      <c r="AB66" s="123" t="str">
        <f>IF(ISTEXT(_xll.PIArcVal(Data!AB$54,Data!$G66,0,"PI_SERVER","exact time")),"",_xll.PIArcVal(Data!AB$54,Data!$G66,0,"PI_SERVER","exact time"))</f>
        <v/>
      </c>
      <c r="AC66" s="123" t="str">
        <f>IF(ISTEXT(_xll.PIArcVal(Data!AC$54,Data!$G66,0,"PI_SERVER","exact time")),"",_xll.PIArcVal(Data!AC$54,Data!$G66,0,"PI_SERVER","exact time"))</f>
        <v/>
      </c>
      <c r="AD66" s="123" t="str">
        <f>IF(ISTEXT(_xll.PIArcVal(Data!AD$54,Data!$G66,0,"PI_SERVER","exact time")),"",_xll.PIArcVal(Data!AD$54,Data!$G66,0,"PI_SERVER","exact time"))</f>
        <v/>
      </c>
      <c r="AE66" s="123" t="str">
        <f>IF(ISTEXT(_xll.PIArcVal(Data!AE$54,Data!$G66,0,"PI_SERVER","exact time")),"",_xll.PIArcVal(Data!AE$54,Data!$G66,0,"PI_SERVER","exact time"))</f>
        <v/>
      </c>
      <c r="AF66" s="123" t="str">
        <f>IF(ISTEXT(_xll.PIArcVal(Data!AF$54,Data!$G66,0,"PI_SERVER","exact time")),"",_xll.PIArcVal(Data!AF$54,Data!$G66,0,"PI_SERVER","exact time"))</f>
        <v/>
      </c>
      <c r="AG66" s="123" t="str">
        <f>IF(ISTEXT(_xll.PIArcVal(Data!AG$54,Data!$G66,0,"PI_SERVER","exact time")),"",_xll.PIArcVal(Data!AG$54,Data!$G66,0,"PI_SERVER","exact time"))</f>
        <v/>
      </c>
      <c r="AH66" s="124" t="str">
        <f t="shared" si="95"/>
        <v/>
      </c>
      <c r="AI66" s="66" t="str">
        <f>IF(ISTEXT(_xll.PIArcVal(Data!AI$54,Data!$G66,0,"PI_SERVER","exact time")),"",_xll.PIArcVal(Data!AI$54,Data!$G66,0,"PI_SERVER","exact time"))</f>
        <v/>
      </c>
      <c r="AJ66" s="66" t="str">
        <f>IF(ISTEXT(_xll.PIArcVal(Data!AJ$54,Data!$G66,0,"PI_SERVER","exact time")),"",_xll.PIArcVal(Data!AJ$54,Data!$G66,0,"PI_SERVER","exact time"))</f>
        <v/>
      </c>
      <c r="AK66" s="66" t="str">
        <f>IF(ISTEXT(_xll.PIArcVal(Data!AK$54,Data!$G66,0,"PI_SERVER","exact time")),"",_xll.PIArcVal(Data!AK$54,Data!$G66,0,"PI_SERVER","exact time"))</f>
        <v/>
      </c>
      <c r="AL66" s="69">
        <f t="shared" si="98"/>
        <v>0</v>
      </c>
      <c r="AM66" s="18"/>
      <c r="AN66" s="18"/>
      <c r="AO66" s="18"/>
      <c r="AQ66" s="13"/>
    </row>
    <row r="67" spans="7:43" ht="20.25" x14ac:dyDescent="0.25">
      <c r="G67" s="64"/>
      <c r="H67" s="65"/>
      <c r="I67" s="122" t="str">
        <f>IF(ISTEXT(_xll.PIArcVal(Data!I$54,Data!$G67,0,"PI_SERVER","exact time")),"",_xll.PIArcVal(Data!I$54,Data!$G67,0,"PI_SERVER","exact time"))</f>
        <v/>
      </c>
      <c r="J67" s="122" t="str">
        <f>IF(ISTEXT(_xll.PIArcVal(Data!J$54,Data!$G67,0,"PI_SERVER","exact time")),"",_xll.PIArcVal(Data!J$54,Data!$G67,0,"PI_SERVER","exact time"))</f>
        <v/>
      </c>
      <c r="K67" s="122" t="str">
        <f t="shared" si="96"/>
        <v/>
      </c>
      <c r="L67" s="122" t="str">
        <f>IF(ISTEXT(_xll.PIArcVal(Data!L$54,Data!$G67,0,"PI_SERVER","exact time")),"",_xll.PIArcVal(Data!L$54,Data!$G67,0,"PI_SERVER","exact time"))</f>
        <v/>
      </c>
      <c r="M67" s="122" t="str">
        <f>IF(ISTEXT(_xll.PIArcVal(Data!M$54,Data!$G67,0,"PI_SERVER","exact time")),"",_xll.PIArcVal(Data!M$54,Data!$G67,0,"PI_SERVER","exact time"))</f>
        <v/>
      </c>
      <c r="N67" s="122" t="str">
        <f t="shared" si="97"/>
        <v/>
      </c>
      <c r="O67" s="123" t="str">
        <f>IF(ISTEXT(_xll.PIArcVal(Data!O$54,Data!$G67,0,"PI_SERVER","exact time")),"",_xll.PIArcVal(Data!O$54,Data!$G67,0,"PI_SERVER","exact time"))</f>
        <v/>
      </c>
      <c r="P67" s="123" t="str">
        <f>IF(ISTEXT(_xll.PIArcVal(Data!P$54,Data!$G67,0,"PI_SERVER","exact time")),"",_xll.PIArcVal(Data!P$54,Data!$G67,0,"PI_SERVER","exact time"))</f>
        <v/>
      </c>
      <c r="Q67" s="123" t="str">
        <f>IF(ISTEXT(_xll.PIArcVal(Data!Q$54,Data!$G67,0,"PI_SERVER","exact time")),"",_xll.PIArcVal(Data!Q$54,Data!$G67,0,"PI_SERVER","exact time"))</f>
        <v/>
      </c>
      <c r="R67" s="123" t="str">
        <f>IF(ISTEXT(_xll.PIArcVal(Data!R$54,Data!$G67,0,"PI_SERVER","exact time")),"",_xll.PIArcVal(Data!R$54,Data!$G67,0,"PI_SERVER","exact time"))</f>
        <v/>
      </c>
      <c r="S67" s="123"/>
      <c r="T67" s="123" t="str">
        <f>IF(ISTEXT(_xll.PIArcVal(Data!T$54,Data!$G67,0,"PI_SERVER","exact time")),"",_xll.PIArcVal(Data!T$54,Data!$G67,0,"PI_SERVER","exact time"))</f>
        <v/>
      </c>
      <c r="U67" s="123" t="str">
        <f>IF(ISTEXT(_xll.PIArcVal(Data!U$54,Data!$G67,0,"PI_SERVER","exact time")),"",_xll.PIArcVal(Data!U$54,Data!$G67,0,"PI_SERVER","exact time"))</f>
        <v/>
      </c>
      <c r="V67" s="123" t="str">
        <f>IF(ISTEXT(_xll.PIArcVal(Data!V$54,Data!$G67,0,"PI_SERVER","exact time")),"",_xll.PIArcVal(Data!V$54,Data!$G67,0,"PI_SERVER","exact time"))</f>
        <v/>
      </c>
      <c r="W67" s="123" t="str">
        <f>IF(ISTEXT(_xll.PIArcVal(Data!W$54,Data!$G67,0,"PI_SERVER","exact time")),"",_xll.PIArcVal(Data!W$54,Data!$G67,0,"PI_SERVER","exact time"))</f>
        <v/>
      </c>
      <c r="X67" s="123" t="str">
        <f>IF(ISTEXT(_xll.PIArcVal(Data!X$54,Data!$G67,0,"PI_SERVER","exact time")),"",_xll.PIArcVal(Data!X$54,Data!$G67,0,"PI_SERVER","exact time"))</f>
        <v/>
      </c>
      <c r="Y67" s="123" t="str">
        <f>IF(ISTEXT(_xll.PIArcVal(Data!Y$54,Data!$G67,0,"PI_SERVER","exact time")),"",_xll.PIArcVal(Data!Y$54,Data!$G67,0,"PI_SERVER","exact time"))</f>
        <v/>
      </c>
      <c r="Z67" s="123" t="str">
        <f>IF(ISTEXT(_xll.PIArcVal(Data!Z$54,Data!$G67,0,"PI_SERVER","exact time")),"",_xll.PIArcVal(Data!Z$54,Data!$G67,0,"PI_SERVER","exact time"))</f>
        <v/>
      </c>
      <c r="AA67" s="123" t="str">
        <f>IF(ISTEXT(_xll.PIArcVal(Data!AA$54,Data!$G67,0,"PI_SERVER","exact time")),"",_xll.PIArcVal(Data!AA$54,Data!$G67,0,"PI_SERVER","exact time"))</f>
        <v/>
      </c>
      <c r="AB67" s="123" t="str">
        <f>IF(ISTEXT(_xll.PIArcVal(Data!AB$54,Data!$G67,0,"PI_SERVER","exact time")),"",_xll.PIArcVal(Data!AB$54,Data!$G67,0,"PI_SERVER","exact time"))</f>
        <v/>
      </c>
      <c r="AC67" s="123" t="str">
        <f>IF(ISTEXT(_xll.PIArcVal(Data!AC$54,Data!$G67,0,"PI_SERVER","exact time")),"",_xll.PIArcVal(Data!AC$54,Data!$G67,0,"PI_SERVER","exact time"))</f>
        <v/>
      </c>
      <c r="AD67" s="123" t="str">
        <f>IF(ISTEXT(_xll.PIArcVal(Data!AD$54,Data!$G67,0,"PI_SERVER","exact time")),"",_xll.PIArcVal(Data!AD$54,Data!$G67,0,"PI_SERVER","exact time"))</f>
        <v/>
      </c>
      <c r="AE67" s="123" t="str">
        <f>IF(ISTEXT(_xll.PIArcVal(Data!AE$54,Data!$G67,0,"PI_SERVER","exact time")),"",_xll.PIArcVal(Data!AE$54,Data!$G67,0,"PI_SERVER","exact time"))</f>
        <v/>
      </c>
      <c r="AF67" s="123" t="str">
        <f>IF(ISTEXT(_xll.PIArcVal(Data!AF$54,Data!$G67,0,"PI_SERVER","exact time")),"",_xll.PIArcVal(Data!AF$54,Data!$G67,0,"PI_SERVER","exact time"))</f>
        <v/>
      </c>
      <c r="AG67" s="123" t="str">
        <f>IF(ISTEXT(_xll.PIArcVal(Data!AG$54,Data!$G67,0,"PI_SERVER","exact time")),"",_xll.PIArcVal(Data!AG$54,Data!$G67,0,"PI_SERVER","exact time"))</f>
        <v/>
      </c>
      <c r="AH67" s="124" t="str">
        <f t="shared" si="95"/>
        <v/>
      </c>
      <c r="AI67" s="66" t="str">
        <f>IF(ISTEXT(_xll.PIArcVal(Data!AI$54,Data!$G67,0,"PI_SERVER","exact time")),"",_xll.PIArcVal(Data!AI$54,Data!$G67,0,"PI_SERVER","exact time"))</f>
        <v/>
      </c>
      <c r="AJ67" s="66" t="str">
        <f>IF(ISTEXT(_xll.PIArcVal(Data!AJ$54,Data!$G67,0,"PI_SERVER","exact time")),"",_xll.PIArcVal(Data!AJ$54,Data!$G67,0,"PI_SERVER","exact time"))</f>
        <v/>
      </c>
      <c r="AK67" s="66" t="str">
        <f>IF(ISTEXT(_xll.PIArcVal(Data!AK$54,Data!$G67,0,"PI_SERVER","exact time")),"",_xll.PIArcVal(Data!AK$54,Data!$G67,0,"PI_SERVER","exact time"))</f>
        <v/>
      </c>
      <c r="AL67" s="69">
        <f t="shared" si="98"/>
        <v>0</v>
      </c>
      <c r="AM67" s="18"/>
      <c r="AN67" s="18"/>
      <c r="AO67" s="18"/>
      <c r="AQ67" s="13"/>
    </row>
    <row r="68" spans="7:43" x14ac:dyDescent="0.25">
      <c r="H68" s="4"/>
      <c r="I68" s="109"/>
      <c r="AK68" s="31" t="str">
        <f>IF(ISTEXT(_xll.PIArcVal(Data!AK$54,Data!$G68,0,"PI_SERVER","exact time")),"",_xll.PIArcVal(Data!AK$54,Data!$G68,0,"PI_SERVER","exact time"))</f>
        <v/>
      </c>
      <c r="AO68" s="18"/>
      <c r="AQ68" s="13"/>
    </row>
    <row r="69" spans="7:43" x14ac:dyDescent="0.25">
      <c r="H69" s="4"/>
      <c r="I69" s="109"/>
      <c r="AK69" s="31" t="str">
        <f>IF(ISTEXT(_xll.PIArcVal(Data!AK$54,Data!$G69,0,"PI_SERVER","exact time")),"",_xll.PIArcVal(Data!AK$54,Data!$G69,0,"PI_SERVER","exact time"))</f>
        <v/>
      </c>
      <c r="AO69" s="18"/>
      <c r="AQ69" s="13"/>
    </row>
    <row r="70" spans="7:43" x14ac:dyDescent="0.25">
      <c r="H70" s="4"/>
      <c r="I70" s="109"/>
      <c r="AK70" s="31" t="str">
        <f>IF(ISTEXT(_xll.PIArcVal(Data!AK$54,Data!$G70,0,"PI_SERVER","exact time")),"",_xll.PIArcVal(Data!AK$54,Data!$G70,0,"PI_SERVER","exact time"))</f>
        <v/>
      </c>
      <c r="AO70" s="18"/>
      <c r="AQ70" s="13"/>
    </row>
    <row r="71" spans="7:43" x14ac:dyDescent="0.25">
      <c r="H71" s="4"/>
      <c r="I71" s="109"/>
      <c r="AK71" s="31" t="str">
        <f>IF(ISTEXT(_xll.PIArcVal(Data!AK$54,Data!$G71,0,"PI_SERVER","exact time")),"",_xll.PIArcVal(Data!AK$54,Data!$G71,0,"PI_SERVER","exact time"))</f>
        <v/>
      </c>
    </row>
    <row r="72" spans="7:43" x14ac:dyDescent="0.25">
      <c r="H72" s="4"/>
      <c r="I72" s="109"/>
      <c r="AK72" s="31" t="str">
        <f>IF(ISTEXT(_xll.PIArcVal(Data!AK$54,Data!$G72,0,"PI_SERVER","exact time")),"",_xll.PIArcVal(Data!AK$54,Data!$G72,0,"PI_SERVER","exact time"))</f>
        <v/>
      </c>
    </row>
    <row r="73" spans="7:43" x14ac:dyDescent="0.25">
      <c r="H73" s="4"/>
      <c r="I73" s="109"/>
    </row>
    <row r="74" spans="7:43" x14ac:dyDescent="0.25">
      <c r="H74" s="4"/>
      <c r="I74" s="109"/>
    </row>
    <row r="75" spans="7:43" x14ac:dyDescent="0.25">
      <c r="H75" s="4"/>
      <c r="I75" s="109"/>
    </row>
    <row r="76" spans="7:43" ht="51.75" x14ac:dyDescent="0.25">
      <c r="G76" s="294" t="s">
        <v>45</v>
      </c>
      <c r="H76" s="1" t="s">
        <v>68</v>
      </c>
      <c r="I76" s="111" t="s">
        <v>179</v>
      </c>
      <c r="J76" s="111" t="s">
        <v>70</v>
      </c>
      <c r="K76" s="111"/>
      <c r="L76" s="111" t="s">
        <v>69</v>
      </c>
      <c r="M76" s="111" t="s">
        <v>180</v>
      </c>
      <c r="N76" s="111"/>
      <c r="O76" s="112" t="s">
        <v>71</v>
      </c>
      <c r="P76" s="113" t="s">
        <v>72</v>
      </c>
      <c r="Q76" s="113" t="s">
        <v>73</v>
      </c>
      <c r="R76" s="113" t="s">
        <v>181</v>
      </c>
      <c r="S76" s="114" t="s">
        <v>166</v>
      </c>
      <c r="T76" s="113" t="s">
        <v>74</v>
      </c>
      <c r="U76" s="115" t="s">
        <v>75</v>
      </c>
      <c r="V76" s="115" t="s">
        <v>76</v>
      </c>
      <c r="W76" s="113" t="s">
        <v>77</v>
      </c>
      <c r="X76" s="113" t="s">
        <v>78</v>
      </c>
      <c r="Y76" s="113" t="s">
        <v>79</v>
      </c>
      <c r="Z76" s="115" t="s">
        <v>80</v>
      </c>
      <c r="AA76" s="115" t="s">
        <v>81</v>
      </c>
      <c r="AB76" s="116" t="s">
        <v>82</v>
      </c>
      <c r="AC76" s="117" t="s">
        <v>83</v>
      </c>
      <c r="AD76" s="113" t="s">
        <v>84</v>
      </c>
      <c r="AE76" s="113" t="s">
        <v>85</v>
      </c>
      <c r="AF76" s="113" t="s">
        <v>86</v>
      </c>
      <c r="AG76" s="113" t="s">
        <v>182</v>
      </c>
      <c r="AH76" s="114" t="s">
        <v>166</v>
      </c>
      <c r="AI76" s="2" t="s">
        <v>87</v>
      </c>
      <c r="AJ76" s="30" t="s">
        <v>157</v>
      </c>
      <c r="AK76" s="30" t="s">
        <v>207</v>
      </c>
      <c r="AL76" s="70"/>
      <c r="AM76" s="21"/>
      <c r="AN76" s="21"/>
    </row>
    <row r="77" spans="7:43" ht="14.25" customHeight="1" x14ac:dyDescent="0.25">
      <c r="G77" s="294"/>
      <c r="H77" s="284" t="str">
        <f>H$9</f>
        <v>CYCLE</v>
      </c>
      <c r="I77" s="286" t="str">
        <f t="shared" ref="I77:N77" si="99">I$10</f>
        <v>MATTE PRODUCED</v>
      </c>
      <c r="J77" s="286" t="str">
        <f t="shared" si="99"/>
        <v>MATTE TREATED</v>
      </c>
      <c r="K77" s="286" t="str">
        <f t="shared" si="99"/>
        <v>MATTE SKULL PRODUCTION</v>
      </c>
      <c r="L77" s="286" t="str">
        <f t="shared" si="99"/>
        <v>BLISTER PRODUCED</v>
      </c>
      <c r="M77" s="286" t="str">
        <f t="shared" si="99"/>
        <v>BLISTER TREATED</v>
      </c>
      <c r="N77" s="286" t="str">
        <f t="shared" si="99"/>
        <v>BLISTER SKULL PRODUCTION</v>
      </c>
      <c r="O77" s="293" t="s">
        <v>6</v>
      </c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  <c r="AF77" s="293"/>
      <c r="AG77" s="125"/>
    </row>
    <row r="78" spans="7:43" ht="12" customHeight="1" x14ac:dyDescent="0.25">
      <c r="G78" s="294"/>
      <c r="H78" s="285"/>
      <c r="I78" s="287"/>
      <c r="J78" s="287"/>
      <c r="K78" s="287"/>
      <c r="L78" s="287"/>
      <c r="M78" s="287"/>
      <c r="N78" s="287"/>
      <c r="O78" s="288" t="s">
        <v>24</v>
      </c>
      <c r="P78" s="289"/>
      <c r="Q78" s="290"/>
      <c r="R78" s="291" t="s">
        <v>9</v>
      </c>
      <c r="S78" s="126"/>
      <c r="T78" s="283" t="s">
        <v>25</v>
      </c>
      <c r="U78" s="283"/>
      <c r="V78" s="283"/>
      <c r="W78" s="283"/>
      <c r="X78" s="283"/>
      <c r="Y78" s="283"/>
      <c r="Z78" s="283"/>
      <c r="AA78" s="283"/>
      <c r="AB78" s="283"/>
      <c r="AC78" s="283"/>
      <c r="AD78" s="283"/>
      <c r="AE78" s="283"/>
      <c r="AF78" s="283"/>
      <c r="AG78" s="127"/>
      <c r="AH78" s="119"/>
      <c r="AI78" s="8"/>
      <c r="AJ78" s="8"/>
      <c r="AK78" s="8"/>
      <c r="AL78" s="71"/>
      <c r="AM78" s="22"/>
      <c r="AN78" s="22"/>
    </row>
    <row r="79" spans="7:43" ht="25.5" customHeight="1" x14ac:dyDescent="0.25">
      <c r="H79" s="285"/>
      <c r="I79" s="287"/>
      <c r="J79" s="287"/>
      <c r="K79" s="287"/>
      <c r="L79" s="287"/>
      <c r="M79" s="287"/>
      <c r="N79" s="287"/>
      <c r="O79" s="128" t="s">
        <v>7</v>
      </c>
      <c r="P79" s="128" t="s">
        <v>8</v>
      </c>
      <c r="Q79" s="128" t="s">
        <v>10</v>
      </c>
      <c r="R79" s="292"/>
      <c r="S79" s="129"/>
      <c r="T79" s="128" t="s">
        <v>11</v>
      </c>
      <c r="U79" s="128" t="s">
        <v>12</v>
      </c>
      <c r="V79" s="128" t="s">
        <v>13</v>
      </c>
      <c r="W79" s="128" t="s">
        <v>14</v>
      </c>
      <c r="X79" s="128" t="s">
        <v>15</v>
      </c>
      <c r="Y79" s="128" t="s">
        <v>16</v>
      </c>
      <c r="Z79" s="128" t="s">
        <v>17</v>
      </c>
      <c r="AA79" s="128" t="s">
        <v>18</v>
      </c>
      <c r="AB79" s="128" t="s">
        <v>19</v>
      </c>
      <c r="AC79" s="128" t="s">
        <v>20</v>
      </c>
      <c r="AD79" s="128" t="s">
        <v>21</v>
      </c>
      <c r="AE79" s="128" t="s">
        <v>22</v>
      </c>
      <c r="AF79" s="128" t="s">
        <v>23</v>
      </c>
      <c r="AG79" s="130"/>
      <c r="AJ79" s="100" t="s">
        <v>155</v>
      </c>
      <c r="AK79" s="100" t="s">
        <v>209</v>
      </c>
      <c r="AO79" s="21"/>
      <c r="AQ79" s="7"/>
    </row>
    <row r="80" spans="7:43" ht="20.25" x14ac:dyDescent="0.25">
      <c r="G80" s="64" t="str">
        <f t="array" ref="G80:H80">_xll.PICompDat(Data!$H$76,Data!$G$4,Data!$G$5,9,"PI_SERVER","inside")</f>
        <v>Resize to show all values</v>
      </c>
      <c r="H80" s="65" t="str">
        <v>Resize to show all values</v>
      </c>
      <c r="I80" s="157" t="str">
        <f>IF(ISTEXT(_xll.PIArcVal(Data!I$76,Data!$G80,0,"PI_SERVER","exact time")),"",_xll.PIArcVal(Data!I$76,Data!$G80,0,"PI_SERVER","exact time"))</f>
        <v/>
      </c>
      <c r="J80" s="157" t="str">
        <f>IF(ISTEXT(_xll.PIArcVal(Data!J$76,Data!$G80,0,"PI_SERVER","exact time")),"",_xll.PIArcVal(Data!J$76,Data!$G80,0,"PI_SERVER","exact time"))</f>
        <v/>
      </c>
      <c r="K80" s="157" t="str">
        <f>IFERROR(I80-J80,"")</f>
        <v/>
      </c>
      <c r="L80" s="157" t="str">
        <f>IF(ISTEXT(_xll.PIArcVal(Data!L$76,Data!$G80,0,"PI_SERVER","exact time")),"",_xll.PIArcVal(Data!L$76,Data!$G80,0,"PI_SERVER","exact time"))</f>
        <v/>
      </c>
      <c r="M80" s="157" t="str">
        <f>IF(ISTEXT(_xll.PIArcVal(Data!M$76,Data!$G80,0,"PI_SERVER","exact time")),"",_xll.PIArcVal(Data!M$76,Data!$G80,0,"PI_SERVER","exact time"))</f>
        <v/>
      </c>
      <c r="N80" s="157" t="str">
        <f>IFERROR(L80-M80,"")</f>
        <v/>
      </c>
      <c r="O80" s="163" t="str">
        <f>IF(ISTEXT(_xll.PIArcVal(Data!O$76,Data!$G80,0,"PI_SERVER","exact time")),"",_xll.PIArcVal(Data!O$76,Data!$G80,0,"PI_SERVER","exact time"))</f>
        <v/>
      </c>
      <c r="P80" s="163" t="str">
        <f>IF(ISTEXT(_xll.PIArcVal(Data!P$76,Data!$G80,0,"PI_SERVER","exact time")),"",_xll.PIArcVal(Data!P$76,Data!$G80,0,"PI_SERVER","exact time"))</f>
        <v/>
      </c>
      <c r="Q80" s="163" t="str">
        <f>IF(ISTEXT(_xll.PIArcVal(Data!Q$76,Data!$G80,0,"PI_SERVER","exact time")),"",_xll.PIArcVal(Data!Q$76,Data!$G80,0,"PI_SERVER","exact time"))</f>
        <v/>
      </c>
      <c r="R80" s="163" t="str">
        <f>IF(ISTEXT(_xll.PIArcVal(Data!R$76,Data!$G80,0,"PI_SERVER","exact time")),"",_xll.PIArcVal(Data!R$76,Data!$G80,0,"PI_SERVER","exact time"))</f>
        <v/>
      </c>
      <c r="S80" s="163"/>
      <c r="T80" s="163" t="str">
        <f>IF(ISTEXT(_xll.PIArcVal(Data!T$76,Data!$G80,0,"PI_SERVER","exact time")),"",_xll.PIArcVal(Data!T$76,Data!$G80,0,"PI_SERVER","exact time"))</f>
        <v/>
      </c>
      <c r="U80" s="163" t="str">
        <f>IF(ISTEXT(_xll.PIArcVal(Data!U$76,Data!$G80,0,"PI_SERVER","exact time")),"",_xll.PIArcVal(Data!U$76,Data!$G80,0,"PI_SERVER","exact time"))</f>
        <v/>
      </c>
      <c r="V80" s="163" t="str">
        <f>IF(ISTEXT(_xll.PIArcVal(Data!V$76,Data!$G80,0,"PI_SERVER","exact time")),"",_xll.PIArcVal(Data!V$76,Data!$G80,0,"PI_SERVER","exact time"))</f>
        <v/>
      </c>
      <c r="W80" s="163" t="str">
        <f>IF(ISTEXT(_xll.PIArcVal(Data!W$76,Data!$G80,0,"PI_SERVER","exact time")),"",_xll.PIArcVal(Data!W$76,Data!$G80,0,"PI_SERVER","exact time"))</f>
        <v/>
      </c>
      <c r="X80" s="163" t="str">
        <f>IF(ISTEXT(_xll.PIArcVal(Data!X$76,Data!$G80,0,"PI_SERVER","exact time")),"",_xll.PIArcVal(Data!X$76,Data!$G80,0,"PI_SERVER","exact time"))</f>
        <v/>
      </c>
      <c r="Y80" s="163" t="str">
        <f>IF(ISTEXT(_xll.PIArcVal(Data!Y$76,Data!$G80,0,"PI_SERVER","exact time")),"",_xll.PIArcVal(Data!Y$76,Data!$G80,0,"PI_SERVER","exact time"))</f>
        <v/>
      </c>
      <c r="Z80" s="163" t="str">
        <f>IF(ISTEXT(_xll.PIArcVal(Data!Z$76,Data!$G80,0,"PI_SERVER","exact time")),"",_xll.PIArcVal(Data!Z$76,Data!$G80,0,"PI_SERVER","exact time"))</f>
        <v/>
      </c>
      <c r="AA80" s="163" t="str">
        <f>IF(ISTEXT(_xll.PIArcVal(Data!AA$76,Data!$G80,0,"PI_SERVER","exact time")),"",_xll.PIArcVal(Data!AA$76,Data!$G80,0,"PI_SERVER","exact time"))</f>
        <v/>
      </c>
      <c r="AB80" s="163" t="str">
        <f>IF(ISTEXT(_xll.PIArcVal(Data!AB$76,Data!$G80,0,"PI_SERVER","exact time")),"",_xll.PIArcVal(Data!AB$76,Data!$G80,0,"PI_SERVER","exact time"))</f>
        <v/>
      </c>
      <c r="AC80" s="163" t="str">
        <f>IF(ISTEXT(_xll.PIArcVal(Data!AC$76,Data!$G80,0,"PI_SERVER","exact time")),"",_xll.PIArcVal(Data!AC$76,Data!$G80,0,"PI_SERVER","exact time"))</f>
        <v/>
      </c>
      <c r="AD80" s="163" t="str">
        <f>IF(ISTEXT(_xll.PIArcVal(Data!AD$76,Data!$G80,0,"PI_SERVER","exact time")),"",_xll.PIArcVal(Data!AD$76,Data!$G80,0,"PI_SERVER","exact time"))</f>
        <v/>
      </c>
      <c r="AE80" s="163" t="str">
        <f>IF(ISTEXT(_xll.PIArcVal(Data!AE$76,Data!$G80,0,"PI_SERVER","exact time")),"",_xll.PIArcVal(Data!AE$76,Data!$G80,0,"PI_SERVER","exact time"))</f>
        <v/>
      </c>
      <c r="AF80" s="163" t="str">
        <f>IF(ISTEXT(_xll.PIArcVal(Data!AF$76,Data!$G80,0,"PI_SERVER","exact time")),"",_xll.PIArcVal(Data!AF$76,Data!$G80,0,"PI_SERVER","exact time"))</f>
        <v/>
      </c>
      <c r="AG80" s="163" t="str">
        <f>IF(ISTEXT(_xll.PIArcVal(Data!AG$76,Data!$G80,0,"PI_SERVER","exact time")),"",_xll.PIArcVal(Data!AG$76,Data!$G80,0,"PI_SERVER","exact time"))</f>
        <v/>
      </c>
      <c r="AH80" s="156" t="str">
        <f t="shared" ref="AH80:AH89" si="100">IF(AL80=1,SUM(T80:AF80),"")</f>
        <v/>
      </c>
      <c r="AI80" s="163" t="str">
        <f>IF(ISTEXT(_xll.PIArcVal(Data!AI$76,Data!$G80,0,"PI_SERVER","exact time")),"",_xll.PIArcVal(Data!AI$76,Data!$G80,0,"PI_SERVER","exact time"))</f>
        <v/>
      </c>
      <c r="AJ80" s="66" t="str">
        <f>IF(ISTEXT(_xll.PIArcVal(Data!AJ$76,Data!$G80,0,"PI_SERVER","exact time")),"",_xll.PIArcVal(Data!AJ$76,Data!$G80,0,"PI_SERVER","exact time"))</f>
        <v/>
      </c>
      <c r="AK80" s="66" t="str">
        <f>IF(ISTEXT(_xll.PIArcVal(Data!AK$76,Data!$G80,0,"PI_SERVER","exact time")),"",_xll.PIArcVal(Data!AK$76,Data!$G80,0,"PI_SERVER","exact time"))</f>
        <v/>
      </c>
      <c r="AL80" s="69">
        <f>IF(OR(G80=" ",G80="",ISTEXT(G80)), 0,1)</f>
        <v>0</v>
      </c>
      <c r="AM80" s="18"/>
      <c r="AN80" s="18"/>
    </row>
    <row r="81" spans="7:43" ht="20.25" x14ac:dyDescent="0.25">
      <c r="G81" s="64"/>
      <c r="H81" s="65"/>
      <c r="I81" s="157" t="str">
        <f>IF(ISTEXT(_xll.PIArcVal(Data!I$76,Data!$G81,0,"PI_SERVER","exact time")),"",_xll.PIArcVal(Data!I$76,Data!$G81,0,"PI_SERVER","exact time"))</f>
        <v/>
      </c>
      <c r="J81" s="157" t="str">
        <f>IF(ISTEXT(_xll.PIArcVal(Data!J$76,Data!$G81,0,"PI_SERVER","exact time")),"",_xll.PIArcVal(Data!J$76,Data!$G81,0,"PI_SERVER","exact time"))</f>
        <v/>
      </c>
      <c r="K81" s="157" t="str">
        <f t="shared" ref="K81:K89" si="101">IFERROR(I81-J81,"")</f>
        <v/>
      </c>
      <c r="L81" s="157" t="str">
        <f>IF(ISTEXT(_xll.PIArcVal(Data!L$76,Data!$G81,0,"PI_SERVER","exact time")),"",_xll.PIArcVal(Data!L$76,Data!$G81,0,"PI_SERVER","exact time"))</f>
        <v/>
      </c>
      <c r="M81" s="157" t="str">
        <f>IF(ISTEXT(_xll.PIArcVal(Data!M$76,Data!$G81,0,"PI_SERVER","exact time")),"",_xll.PIArcVal(Data!M$76,Data!$G81,0,"PI_SERVER","exact time"))</f>
        <v/>
      </c>
      <c r="N81" s="157" t="str">
        <f t="shared" ref="N81:N89" si="102">IFERROR(L81-M81,"")</f>
        <v/>
      </c>
      <c r="O81" s="163" t="str">
        <f>IF(ISTEXT(_xll.PIArcVal(Data!O$76,Data!$G81,0,"PI_SERVER","exact time")),"",_xll.PIArcVal(Data!O$76,Data!$G81,0,"PI_SERVER","exact time"))</f>
        <v/>
      </c>
      <c r="P81" s="163" t="str">
        <f>IF(ISTEXT(_xll.PIArcVal(Data!P$76,Data!$G81,0,"PI_SERVER","exact time")),"",_xll.PIArcVal(Data!P$76,Data!$G81,0,"PI_SERVER","exact time"))</f>
        <v/>
      </c>
      <c r="Q81" s="163" t="str">
        <f>IF(ISTEXT(_xll.PIArcVal(Data!Q$76,Data!$G81,0,"PI_SERVER","exact time")),"",_xll.PIArcVal(Data!Q$76,Data!$G81,0,"PI_SERVER","exact time"))</f>
        <v/>
      </c>
      <c r="R81" s="163" t="str">
        <f>IF(ISTEXT(_xll.PIArcVal(Data!R$76,Data!$G81,0,"PI_SERVER","exact time")),"",_xll.PIArcVal(Data!R$76,Data!$G81,0,"PI_SERVER","exact time"))</f>
        <v/>
      </c>
      <c r="S81" s="163"/>
      <c r="T81" s="163" t="str">
        <f>IF(ISTEXT(_xll.PIArcVal(Data!T$76,Data!$G81,0,"PI_SERVER","exact time")),"",_xll.PIArcVal(Data!T$76,Data!$G81,0,"PI_SERVER","exact time"))</f>
        <v/>
      </c>
      <c r="U81" s="163" t="str">
        <f>IF(ISTEXT(_xll.PIArcVal(Data!U$76,Data!$G81,0,"PI_SERVER","exact time")),"",_xll.PIArcVal(Data!U$76,Data!$G81,0,"PI_SERVER","exact time"))</f>
        <v/>
      </c>
      <c r="V81" s="163" t="str">
        <f>IF(ISTEXT(_xll.PIArcVal(Data!V$76,Data!$G81,0,"PI_SERVER","exact time")),"",_xll.PIArcVal(Data!V$76,Data!$G81,0,"PI_SERVER","exact time"))</f>
        <v/>
      </c>
      <c r="W81" s="163" t="str">
        <f>IF(ISTEXT(_xll.PIArcVal(Data!W$76,Data!$G81,0,"PI_SERVER","exact time")),"",_xll.PIArcVal(Data!W$76,Data!$G81,0,"PI_SERVER","exact time"))</f>
        <v/>
      </c>
      <c r="X81" s="163" t="str">
        <f>IF(ISTEXT(_xll.PIArcVal(Data!X$76,Data!$G81,0,"PI_SERVER","exact time")),"",_xll.PIArcVal(Data!X$76,Data!$G81,0,"PI_SERVER","exact time"))</f>
        <v/>
      </c>
      <c r="Y81" s="163" t="str">
        <f>IF(ISTEXT(_xll.PIArcVal(Data!Y$76,Data!$G81,0,"PI_SERVER","exact time")),"",_xll.PIArcVal(Data!Y$76,Data!$G81,0,"PI_SERVER","exact time"))</f>
        <v/>
      </c>
      <c r="Z81" s="163" t="str">
        <f>IF(ISTEXT(_xll.PIArcVal(Data!Z$76,Data!$G81,0,"PI_SERVER","exact time")),"",_xll.PIArcVal(Data!Z$76,Data!$G81,0,"PI_SERVER","exact time"))</f>
        <v/>
      </c>
      <c r="AA81" s="163" t="str">
        <f>IF(ISTEXT(_xll.PIArcVal(Data!AA$76,Data!$G81,0,"PI_SERVER","exact time")),"",_xll.PIArcVal(Data!AA$76,Data!$G81,0,"PI_SERVER","exact time"))</f>
        <v/>
      </c>
      <c r="AB81" s="163" t="str">
        <f>IF(ISTEXT(_xll.PIArcVal(Data!AB$76,Data!$G81,0,"PI_SERVER","exact time")),"",_xll.PIArcVal(Data!AB$76,Data!$G81,0,"PI_SERVER","exact time"))</f>
        <v/>
      </c>
      <c r="AC81" s="163" t="str">
        <f>IF(ISTEXT(_xll.PIArcVal(Data!AC$76,Data!$G81,0,"PI_SERVER","exact time")),"",_xll.PIArcVal(Data!AC$76,Data!$G81,0,"PI_SERVER","exact time"))</f>
        <v/>
      </c>
      <c r="AD81" s="163" t="str">
        <f>IF(ISTEXT(_xll.PIArcVal(Data!AD$76,Data!$G81,0,"PI_SERVER","exact time")),"",_xll.PIArcVal(Data!AD$76,Data!$G81,0,"PI_SERVER","exact time"))</f>
        <v/>
      </c>
      <c r="AE81" s="163" t="str">
        <f>IF(ISTEXT(_xll.PIArcVal(Data!AE$76,Data!$G81,0,"PI_SERVER","exact time")),"",_xll.PIArcVal(Data!AE$76,Data!$G81,0,"PI_SERVER","exact time"))</f>
        <v/>
      </c>
      <c r="AF81" s="163" t="str">
        <f>IF(ISTEXT(_xll.PIArcVal(Data!AF$76,Data!$G81,0,"PI_SERVER","exact time")),"",_xll.PIArcVal(Data!AF$76,Data!$G81,0,"PI_SERVER","exact time"))</f>
        <v/>
      </c>
      <c r="AG81" s="163" t="str">
        <f>IF(ISTEXT(_xll.PIArcVal(Data!AG$76,Data!$G81,0,"PI_SERVER","exact time")),"",_xll.PIArcVal(Data!AG$76,Data!$G81,0,"PI_SERVER","exact time"))</f>
        <v/>
      </c>
      <c r="AH81" s="156" t="str">
        <f t="shared" si="100"/>
        <v/>
      </c>
      <c r="AI81" s="163" t="str">
        <f>IF(ISTEXT(_xll.PIArcVal(Data!AI$76,Data!$G81,0,"PI_SERVER","exact time")),"",_xll.PIArcVal(Data!AI$76,Data!$G81,0,"PI_SERVER","exact time"))</f>
        <v/>
      </c>
      <c r="AJ81" s="66" t="str">
        <f>IF(ISTEXT(_xll.PIArcVal(Data!AJ$76,Data!$G81,0,"PI_SERVER","exact time")),"",_xll.PIArcVal(Data!AJ$76,Data!$G81,0,"PI_SERVER","exact time"))</f>
        <v/>
      </c>
      <c r="AK81" s="66" t="str">
        <f>IF(ISTEXT(_xll.PIArcVal(Data!AK$76,Data!$G81,0,"PI_SERVER","exact time")),"",_xll.PIArcVal(Data!AK$76,Data!$G81,0,"PI_SERVER","exact time"))</f>
        <v/>
      </c>
      <c r="AL81" s="69">
        <f t="shared" ref="AL81:AL89" si="103">IF(OR(G81=" ",G81="",ISTEXT(G81)), 0,1)</f>
        <v>0</v>
      </c>
      <c r="AM81" s="18"/>
      <c r="AN81" s="18"/>
      <c r="AO81" s="22"/>
      <c r="AQ81" s="8"/>
    </row>
    <row r="82" spans="7:43" ht="20.25" x14ac:dyDescent="0.25">
      <c r="G82" s="64"/>
      <c r="H82" s="65"/>
      <c r="I82" s="157" t="str">
        <f>IF(ISTEXT(_xll.PIArcVal(Data!I$76,Data!$G82,0,"PI_SERVER","exact time")),"",_xll.PIArcVal(Data!I$76,Data!$G82,0,"PI_SERVER","exact time"))</f>
        <v/>
      </c>
      <c r="J82" s="157" t="str">
        <f>IF(ISTEXT(_xll.PIArcVal(Data!J$76,Data!$G82,0,"PI_SERVER","exact time")),"",_xll.PIArcVal(Data!J$76,Data!$G82,0,"PI_SERVER","exact time"))</f>
        <v/>
      </c>
      <c r="K82" s="157" t="str">
        <f t="shared" si="101"/>
        <v/>
      </c>
      <c r="L82" s="157" t="str">
        <f>IF(ISTEXT(_xll.PIArcVal(Data!L$76,Data!$G82,0,"PI_SERVER","exact time")),"",_xll.PIArcVal(Data!L$76,Data!$G82,0,"PI_SERVER","exact time"))</f>
        <v/>
      </c>
      <c r="M82" s="157" t="str">
        <f>IF(ISTEXT(_xll.PIArcVal(Data!M$76,Data!$G82,0,"PI_SERVER","exact time")),"",_xll.PIArcVal(Data!M$76,Data!$G82,0,"PI_SERVER","exact time"))</f>
        <v/>
      </c>
      <c r="N82" s="157" t="str">
        <f t="shared" si="102"/>
        <v/>
      </c>
      <c r="O82" s="163" t="str">
        <f>IF(ISTEXT(_xll.PIArcVal(Data!O$76,Data!$G82,0,"PI_SERVER","exact time")),"",_xll.PIArcVal(Data!O$76,Data!$G82,0,"PI_SERVER","exact time"))</f>
        <v/>
      </c>
      <c r="P82" s="163" t="str">
        <f>IF(ISTEXT(_xll.PIArcVal(Data!P$76,Data!$G82,0,"PI_SERVER","exact time")),"",_xll.PIArcVal(Data!P$76,Data!$G82,0,"PI_SERVER","exact time"))</f>
        <v/>
      </c>
      <c r="Q82" s="163" t="str">
        <f>IF(ISTEXT(_xll.PIArcVal(Data!Q$76,Data!$G82,0,"PI_SERVER","exact time")),"",_xll.PIArcVal(Data!Q$76,Data!$G82,0,"PI_SERVER","exact time"))</f>
        <v/>
      </c>
      <c r="R82" s="163" t="str">
        <f>IF(ISTEXT(_xll.PIArcVal(Data!R$76,Data!$G82,0,"PI_SERVER","exact time")),"",_xll.PIArcVal(Data!R$76,Data!$G82,0,"PI_SERVER","exact time"))</f>
        <v/>
      </c>
      <c r="S82" s="163"/>
      <c r="T82" s="163" t="str">
        <f>IF(ISTEXT(_xll.PIArcVal(Data!T$76,Data!$G82,0,"PI_SERVER","exact time")),"",_xll.PIArcVal(Data!T$76,Data!$G82,0,"PI_SERVER","exact time"))</f>
        <v/>
      </c>
      <c r="U82" s="163" t="str">
        <f>IF(ISTEXT(_xll.PIArcVal(Data!U$76,Data!$G82,0,"PI_SERVER","exact time")),"",_xll.PIArcVal(Data!U$76,Data!$G82,0,"PI_SERVER","exact time"))</f>
        <v/>
      </c>
      <c r="V82" s="163" t="str">
        <f>IF(ISTEXT(_xll.PIArcVal(Data!V$76,Data!$G82,0,"PI_SERVER","exact time")),"",_xll.PIArcVal(Data!V$76,Data!$G82,0,"PI_SERVER","exact time"))</f>
        <v/>
      </c>
      <c r="W82" s="163" t="str">
        <f>IF(ISTEXT(_xll.PIArcVal(Data!W$76,Data!$G82,0,"PI_SERVER","exact time")),"",_xll.PIArcVal(Data!W$76,Data!$G82,0,"PI_SERVER","exact time"))</f>
        <v/>
      </c>
      <c r="X82" s="163" t="str">
        <f>IF(ISTEXT(_xll.PIArcVal(Data!X$76,Data!$G82,0,"PI_SERVER","exact time")),"",_xll.PIArcVal(Data!X$76,Data!$G82,0,"PI_SERVER","exact time"))</f>
        <v/>
      </c>
      <c r="Y82" s="163" t="str">
        <f>IF(ISTEXT(_xll.PIArcVal(Data!Y$76,Data!$G82,0,"PI_SERVER","exact time")),"",_xll.PIArcVal(Data!Y$76,Data!$G82,0,"PI_SERVER","exact time"))</f>
        <v/>
      </c>
      <c r="Z82" s="163" t="str">
        <f>IF(ISTEXT(_xll.PIArcVal(Data!Z$76,Data!$G82,0,"PI_SERVER","exact time")),"",_xll.PIArcVal(Data!Z$76,Data!$G82,0,"PI_SERVER","exact time"))</f>
        <v/>
      </c>
      <c r="AA82" s="163" t="str">
        <f>IF(ISTEXT(_xll.PIArcVal(Data!AA$76,Data!$G82,0,"PI_SERVER","exact time")),"",_xll.PIArcVal(Data!AA$76,Data!$G82,0,"PI_SERVER","exact time"))</f>
        <v/>
      </c>
      <c r="AB82" s="163" t="str">
        <f>IF(ISTEXT(_xll.PIArcVal(Data!AB$76,Data!$G82,0,"PI_SERVER","exact time")),"",_xll.PIArcVal(Data!AB$76,Data!$G82,0,"PI_SERVER","exact time"))</f>
        <v/>
      </c>
      <c r="AC82" s="163" t="str">
        <f>IF(ISTEXT(_xll.PIArcVal(Data!AC$76,Data!$G82,0,"PI_SERVER","exact time")),"",_xll.PIArcVal(Data!AC$76,Data!$G82,0,"PI_SERVER","exact time"))</f>
        <v/>
      </c>
      <c r="AD82" s="163" t="str">
        <f>IF(ISTEXT(_xll.PIArcVal(Data!AD$76,Data!$G82,0,"PI_SERVER","exact time")),"",_xll.PIArcVal(Data!AD$76,Data!$G82,0,"PI_SERVER","exact time"))</f>
        <v/>
      </c>
      <c r="AE82" s="163" t="str">
        <f>IF(ISTEXT(_xll.PIArcVal(Data!AE$76,Data!$G82,0,"PI_SERVER","exact time")),"",_xll.PIArcVal(Data!AE$76,Data!$G82,0,"PI_SERVER","exact time"))</f>
        <v/>
      </c>
      <c r="AF82" s="163" t="str">
        <f>IF(ISTEXT(_xll.PIArcVal(Data!AF$76,Data!$G82,0,"PI_SERVER","exact time")),"",_xll.PIArcVal(Data!AF$76,Data!$G82,0,"PI_SERVER","exact time"))</f>
        <v/>
      </c>
      <c r="AG82" s="163" t="str">
        <f>IF(ISTEXT(_xll.PIArcVal(Data!AG$76,Data!$G82,0,"PI_SERVER","exact time")),"",_xll.PIArcVal(Data!AG$76,Data!$G82,0,"PI_SERVER","exact time"))</f>
        <v/>
      </c>
      <c r="AH82" s="156" t="str">
        <f t="shared" si="100"/>
        <v/>
      </c>
      <c r="AI82" s="163" t="str">
        <f>IF(ISTEXT(_xll.PIArcVal(Data!AI$76,Data!$G82,0,"PI_SERVER","exact time")),"",_xll.PIArcVal(Data!AI$76,Data!$G82,0,"PI_SERVER","exact time"))</f>
        <v/>
      </c>
      <c r="AJ82" s="66" t="str">
        <f>IF(ISTEXT(_xll.PIArcVal(Data!AJ$76,Data!$G82,0,"PI_SERVER","exact time")),"",_xll.PIArcVal(Data!AJ$76,Data!$G82,0,"PI_SERVER","exact time"))</f>
        <v/>
      </c>
      <c r="AK82" s="66" t="str">
        <f>IF(ISTEXT(_xll.PIArcVal(Data!AK$76,Data!$G82,0,"PI_SERVER","exact time")),"",_xll.PIArcVal(Data!AK$76,Data!$G82,0,"PI_SERVER","exact time"))</f>
        <v/>
      </c>
      <c r="AL82" s="69">
        <f t="shared" si="103"/>
        <v>0</v>
      </c>
      <c r="AM82" s="18"/>
      <c r="AN82" s="18"/>
    </row>
    <row r="83" spans="7:43" ht="20.25" x14ac:dyDescent="0.25">
      <c r="G83" s="64"/>
      <c r="H83" s="65"/>
      <c r="I83" s="157" t="str">
        <f>IF(ISTEXT(_xll.PIArcVal(Data!I$76,Data!$G83,0,"PI_SERVER","exact time")),"",_xll.PIArcVal(Data!I$76,Data!$G83,0,"PI_SERVER","exact time"))</f>
        <v/>
      </c>
      <c r="J83" s="157" t="str">
        <f>IF(ISTEXT(_xll.PIArcVal(Data!J$76,Data!$G83,0,"PI_SERVER","exact time")),"",_xll.PIArcVal(Data!J$76,Data!$G83,0,"PI_SERVER","exact time"))</f>
        <v/>
      </c>
      <c r="K83" s="157" t="str">
        <f t="shared" si="101"/>
        <v/>
      </c>
      <c r="L83" s="157" t="str">
        <f>IF(ISTEXT(_xll.PIArcVal(Data!L$76,Data!$G83,0,"PI_SERVER","exact time")),"",_xll.PIArcVal(Data!L$76,Data!$G83,0,"PI_SERVER","exact time"))</f>
        <v/>
      </c>
      <c r="M83" s="157" t="str">
        <f>IF(ISTEXT(_xll.PIArcVal(Data!M$76,Data!$G83,0,"PI_SERVER","exact time")),"",_xll.PIArcVal(Data!M$76,Data!$G83,0,"PI_SERVER","exact time"))</f>
        <v/>
      </c>
      <c r="N83" s="157" t="str">
        <f t="shared" si="102"/>
        <v/>
      </c>
      <c r="O83" s="163" t="str">
        <f>IF(ISTEXT(_xll.PIArcVal(Data!O$76,Data!$G83,0,"PI_SERVER","exact time")),"",_xll.PIArcVal(Data!O$76,Data!$G83,0,"PI_SERVER","exact time"))</f>
        <v/>
      </c>
      <c r="P83" s="163" t="str">
        <f>IF(ISTEXT(_xll.PIArcVal(Data!P$76,Data!$G83,0,"PI_SERVER","exact time")),"",_xll.PIArcVal(Data!P$76,Data!$G83,0,"PI_SERVER","exact time"))</f>
        <v/>
      </c>
      <c r="Q83" s="163" t="str">
        <f>IF(ISTEXT(_xll.PIArcVal(Data!Q$76,Data!$G83,0,"PI_SERVER","exact time")),"",_xll.PIArcVal(Data!Q$76,Data!$G83,0,"PI_SERVER","exact time"))</f>
        <v/>
      </c>
      <c r="R83" s="163" t="str">
        <f>IF(ISTEXT(_xll.PIArcVal(Data!R$76,Data!$G83,0,"PI_SERVER","exact time")),"",_xll.PIArcVal(Data!R$76,Data!$G83,0,"PI_SERVER","exact time"))</f>
        <v/>
      </c>
      <c r="S83" s="163"/>
      <c r="T83" s="163" t="str">
        <f>IF(ISTEXT(_xll.PIArcVal(Data!T$76,Data!$G83,0,"PI_SERVER","exact time")),"",_xll.PIArcVal(Data!T$76,Data!$G83,0,"PI_SERVER","exact time"))</f>
        <v/>
      </c>
      <c r="U83" s="163" t="str">
        <f>IF(ISTEXT(_xll.PIArcVal(Data!U$76,Data!$G83,0,"PI_SERVER","exact time")),"",_xll.PIArcVal(Data!U$76,Data!$G83,0,"PI_SERVER","exact time"))</f>
        <v/>
      </c>
      <c r="V83" s="163" t="str">
        <f>IF(ISTEXT(_xll.PIArcVal(Data!V$76,Data!$G83,0,"PI_SERVER","exact time")),"",_xll.PIArcVal(Data!V$76,Data!$G83,0,"PI_SERVER","exact time"))</f>
        <v/>
      </c>
      <c r="W83" s="163" t="str">
        <f>IF(ISTEXT(_xll.PIArcVal(Data!W$76,Data!$G83,0,"PI_SERVER","exact time")),"",_xll.PIArcVal(Data!W$76,Data!$G83,0,"PI_SERVER","exact time"))</f>
        <v/>
      </c>
      <c r="X83" s="163" t="str">
        <f>IF(ISTEXT(_xll.PIArcVal(Data!X$76,Data!$G83,0,"PI_SERVER","exact time")),"",_xll.PIArcVal(Data!X$76,Data!$G83,0,"PI_SERVER","exact time"))</f>
        <v/>
      </c>
      <c r="Y83" s="163" t="str">
        <f>IF(ISTEXT(_xll.PIArcVal(Data!Y$76,Data!$G83,0,"PI_SERVER","exact time")),"",_xll.PIArcVal(Data!Y$76,Data!$G83,0,"PI_SERVER","exact time"))</f>
        <v/>
      </c>
      <c r="Z83" s="163" t="str">
        <f>IF(ISTEXT(_xll.PIArcVal(Data!Z$76,Data!$G83,0,"PI_SERVER","exact time")),"",_xll.PIArcVal(Data!Z$76,Data!$G83,0,"PI_SERVER","exact time"))</f>
        <v/>
      </c>
      <c r="AA83" s="163" t="str">
        <f>IF(ISTEXT(_xll.PIArcVal(Data!AA$76,Data!$G83,0,"PI_SERVER","exact time")),"",_xll.PIArcVal(Data!AA$76,Data!$G83,0,"PI_SERVER","exact time"))</f>
        <v/>
      </c>
      <c r="AB83" s="163" t="str">
        <f>IF(ISTEXT(_xll.PIArcVal(Data!AB$76,Data!$G83,0,"PI_SERVER","exact time")),"",_xll.PIArcVal(Data!AB$76,Data!$G83,0,"PI_SERVER","exact time"))</f>
        <v/>
      </c>
      <c r="AC83" s="163" t="str">
        <f>IF(ISTEXT(_xll.PIArcVal(Data!AC$76,Data!$G83,0,"PI_SERVER","exact time")),"",_xll.PIArcVal(Data!AC$76,Data!$G83,0,"PI_SERVER","exact time"))</f>
        <v/>
      </c>
      <c r="AD83" s="163" t="str">
        <f>IF(ISTEXT(_xll.PIArcVal(Data!AD$76,Data!$G83,0,"PI_SERVER","exact time")),"",_xll.PIArcVal(Data!AD$76,Data!$G83,0,"PI_SERVER","exact time"))</f>
        <v/>
      </c>
      <c r="AE83" s="163" t="str">
        <f>IF(ISTEXT(_xll.PIArcVal(Data!AE$76,Data!$G83,0,"PI_SERVER","exact time")),"",_xll.PIArcVal(Data!AE$76,Data!$G83,0,"PI_SERVER","exact time"))</f>
        <v/>
      </c>
      <c r="AF83" s="163" t="str">
        <f>IF(ISTEXT(_xll.PIArcVal(Data!AF$76,Data!$G83,0,"PI_SERVER","exact time")),"",_xll.PIArcVal(Data!AF$76,Data!$G83,0,"PI_SERVER","exact time"))</f>
        <v/>
      </c>
      <c r="AG83" s="163" t="str">
        <f>IF(ISTEXT(_xll.PIArcVal(Data!AG$76,Data!$G83,0,"PI_SERVER","exact time")),"",_xll.PIArcVal(Data!AG$76,Data!$G83,0,"PI_SERVER","exact time"))</f>
        <v/>
      </c>
      <c r="AH83" s="156" t="str">
        <f t="shared" si="100"/>
        <v/>
      </c>
      <c r="AI83" s="163" t="str">
        <f>IF(ISTEXT(_xll.PIArcVal(Data!AI$76,Data!$G83,0,"PI_SERVER","exact time")),"",_xll.PIArcVal(Data!AI$76,Data!$G83,0,"PI_SERVER","exact time"))</f>
        <v/>
      </c>
      <c r="AJ83" s="66" t="str">
        <f>IF(ISTEXT(_xll.PIArcVal(Data!AJ$76,Data!$G83,0,"PI_SERVER","exact time")),"",_xll.PIArcVal(Data!AJ$76,Data!$G83,0,"PI_SERVER","exact time"))</f>
        <v/>
      </c>
      <c r="AK83" s="66" t="str">
        <f>IF(ISTEXT(_xll.PIArcVal(Data!AK$76,Data!$G83,0,"PI_SERVER","exact time")),"",_xll.PIArcVal(Data!AK$76,Data!$G83,0,"PI_SERVER","exact time"))</f>
        <v/>
      </c>
      <c r="AL83" s="69">
        <f t="shared" si="103"/>
        <v>0</v>
      </c>
      <c r="AM83" s="18"/>
      <c r="AN83" s="18"/>
      <c r="AO83" s="18"/>
      <c r="AQ83" s="13"/>
    </row>
    <row r="84" spans="7:43" ht="20.25" x14ac:dyDescent="0.25">
      <c r="G84" s="64"/>
      <c r="H84" s="65"/>
      <c r="I84" s="122" t="str">
        <f>IF(ISTEXT(_xll.PIArcVal(Data!I$76,Data!$G84,0,"PI_SERVER","exact time")),"",_xll.PIArcVal(Data!I$76,Data!$G84,0,"PI_SERVER","exact time"))</f>
        <v/>
      </c>
      <c r="J84" s="122" t="str">
        <f>IF(ISTEXT(_xll.PIArcVal(Data!J$76,Data!$G84,0,"PI_SERVER","exact time")),"",_xll.PIArcVal(Data!J$76,Data!$G84,0,"PI_SERVER","exact time"))</f>
        <v/>
      </c>
      <c r="K84" s="122" t="str">
        <f t="shared" si="101"/>
        <v/>
      </c>
      <c r="L84" s="122" t="str">
        <f>IF(ISTEXT(_xll.PIArcVal(Data!L$76,Data!$G84,0,"PI_SERVER","exact time")),"",_xll.PIArcVal(Data!L$76,Data!$G84,0,"PI_SERVER","exact time"))</f>
        <v/>
      </c>
      <c r="M84" s="122" t="str">
        <f>IF(ISTEXT(_xll.PIArcVal(Data!M$76,Data!$G84,0,"PI_SERVER","exact time")),"",_xll.PIArcVal(Data!M$76,Data!$G84,0,"PI_SERVER","exact time"))</f>
        <v/>
      </c>
      <c r="N84" s="122" t="str">
        <f t="shared" si="102"/>
        <v/>
      </c>
      <c r="O84" s="123" t="str">
        <f>IF(ISTEXT(_xll.PIArcVal(Data!O$76,Data!$G84,0,"PI_SERVER","exact time")),"",_xll.PIArcVal(Data!O$76,Data!$G84,0,"PI_SERVER","exact time"))</f>
        <v/>
      </c>
      <c r="P84" s="123" t="str">
        <f>IF(ISTEXT(_xll.PIArcVal(Data!P$76,Data!$G84,0,"PI_SERVER","exact time")),"",_xll.PIArcVal(Data!P$76,Data!$G84,0,"PI_SERVER","exact time"))</f>
        <v/>
      </c>
      <c r="Q84" s="123" t="str">
        <f>IF(ISTEXT(_xll.PIArcVal(Data!Q$76,Data!$G84,0,"PI_SERVER","exact time")),"",_xll.PIArcVal(Data!Q$76,Data!$G84,0,"PI_SERVER","exact time"))</f>
        <v/>
      </c>
      <c r="R84" s="123" t="str">
        <f>IF(ISTEXT(_xll.PIArcVal(Data!R$76,Data!$G84,0,"PI_SERVER","exact time")),"",_xll.PIArcVal(Data!R$76,Data!$G84,0,"PI_SERVER","exact time"))</f>
        <v/>
      </c>
      <c r="S84" s="123"/>
      <c r="T84" s="123" t="str">
        <f>IF(ISTEXT(_xll.PIArcVal(Data!T$76,Data!$G84,0,"PI_SERVER","exact time")),"",_xll.PIArcVal(Data!T$76,Data!$G84,0,"PI_SERVER","exact time"))</f>
        <v/>
      </c>
      <c r="U84" s="123" t="str">
        <f>IF(ISTEXT(_xll.PIArcVal(Data!U$76,Data!$G84,0,"PI_SERVER","exact time")),"",_xll.PIArcVal(Data!U$76,Data!$G84,0,"PI_SERVER","exact time"))</f>
        <v/>
      </c>
      <c r="V84" s="123" t="str">
        <f>IF(ISTEXT(_xll.PIArcVal(Data!V$76,Data!$G84,0,"PI_SERVER","exact time")),"",_xll.PIArcVal(Data!V$76,Data!$G84,0,"PI_SERVER","exact time"))</f>
        <v/>
      </c>
      <c r="W84" s="123" t="str">
        <f>IF(ISTEXT(_xll.PIArcVal(Data!W$76,Data!$G84,0,"PI_SERVER","exact time")),"",_xll.PIArcVal(Data!W$76,Data!$G84,0,"PI_SERVER","exact time"))</f>
        <v/>
      </c>
      <c r="X84" s="123" t="str">
        <f>IF(ISTEXT(_xll.PIArcVal(Data!X$76,Data!$G84,0,"PI_SERVER","exact time")),"",_xll.PIArcVal(Data!X$76,Data!$G84,0,"PI_SERVER","exact time"))</f>
        <v/>
      </c>
      <c r="Y84" s="123" t="str">
        <f>IF(ISTEXT(_xll.PIArcVal(Data!Y$76,Data!$G84,0,"PI_SERVER","exact time")),"",_xll.PIArcVal(Data!Y$76,Data!$G84,0,"PI_SERVER","exact time"))</f>
        <v/>
      </c>
      <c r="Z84" s="123" t="str">
        <f>IF(ISTEXT(_xll.PIArcVal(Data!Z$76,Data!$G84,0,"PI_SERVER","exact time")),"",_xll.PIArcVal(Data!Z$76,Data!$G84,0,"PI_SERVER","exact time"))</f>
        <v/>
      </c>
      <c r="AA84" s="123" t="str">
        <f>IF(ISTEXT(_xll.PIArcVal(Data!AA$76,Data!$G84,0,"PI_SERVER","exact time")),"",_xll.PIArcVal(Data!AA$76,Data!$G84,0,"PI_SERVER","exact time"))</f>
        <v/>
      </c>
      <c r="AB84" s="123" t="str">
        <f>IF(ISTEXT(_xll.PIArcVal(Data!AB$76,Data!$G84,0,"PI_SERVER","exact time")),"",_xll.PIArcVal(Data!AB$76,Data!$G84,0,"PI_SERVER","exact time"))</f>
        <v/>
      </c>
      <c r="AC84" s="123" t="str">
        <f>IF(ISTEXT(_xll.PIArcVal(Data!AC$76,Data!$G84,0,"PI_SERVER","exact time")),"",_xll.PIArcVal(Data!AC$76,Data!$G84,0,"PI_SERVER","exact time"))</f>
        <v/>
      </c>
      <c r="AD84" s="123" t="str">
        <f>IF(ISTEXT(_xll.PIArcVal(Data!AD$76,Data!$G84,0,"PI_SERVER","exact time")),"",_xll.PIArcVal(Data!AD$76,Data!$G84,0,"PI_SERVER","exact time"))</f>
        <v/>
      </c>
      <c r="AE84" s="123" t="str">
        <f>IF(ISTEXT(_xll.PIArcVal(Data!AE$76,Data!$G84,0,"PI_SERVER","exact time")),"",_xll.PIArcVal(Data!AE$76,Data!$G84,0,"PI_SERVER","exact time"))</f>
        <v/>
      </c>
      <c r="AF84" s="123" t="str">
        <f>IF(ISTEXT(_xll.PIArcVal(Data!AF$76,Data!$G84,0,"PI_SERVER","exact time")),"",_xll.PIArcVal(Data!AF$76,Data!$G84,0,"PI_SERVER","exact time"))</f>
        <v/>
      </c>
      <c r="AG84" s="123" t="str">
        <f>IF(ISTEXT(_xll.PIArcVal(Data!AG$76,Data!$G84,0,"PI_SERVER","exact time")),"",_xll.PIArcVal(Data!AG$76,Data!$G84,0,"PI_SERVER","exact time"))</f>
        <v/>
      </c>
      <c r="AH84" s="124" t="str">
        <f t="shared" si="100"/>
        <v/>
      </c>
      <c r="AI84" s="66" t="str">
        <f>IF(ISTEXT(_xll.PIArcVal(Data!AI$76,Data!$G84,0,"PI_SERVER","exact time")),"",_xll.PIArcVal(Data!AI$76,Data!$G84,0,"PI_SERVER","exact time"))</f>
        <v/>
      </c>
      <c r="AJ84" s="66" t="str">
        <f>IF(ISTEXT(_xll.PIArcVal(Data!AJ$76,Data!$G84,0,"PI_SERVER","exact time")),"",_xll.PIArcVal(Data!AJ$76,Data!$G84,0,"PI_SERVER","exact time"))</f>
        <v/>
      </c>
      <c r="AK84" s="66" t="str">
        <f>IF(ISTEXT(_xll.PIArcVal(Data!AK$76,Data!$G84,0,"PI_SERVER","exact time")),"",_xll.PIArcVal(Data!AK$76,Data!$G84,0,"PI_SERVER","exact time"))</f>
        <v/>
      </c>
      <c r="AL84" s="69">
        <f t="shared" si="103"/>
        <v>0</v>
      </c>
      <c r="AM84" s="18"/>
      <c r="AN84" s="18"/>
      <c r="AO84" s="18"/>
      <c r="AQ84" s="13"/>
    </row>
    <row r="85" spans="7:43" ht="20.25" x14ac:dyDescent="0.25">
      <c r="G85" s="64"/>
      <c r="H85" s="65"/>
      <c r="I85" s="122" t="str">
        <f>IF(ISTEXT(_xll.PIArcVal(Data!I$76,Data!$G85,0,"PI_SERVER","exact time")),"",_xll.PIArcVal(Data!I$76,Data!$G85,0,"PI_SERVER","exact time"))</f>
        <v/>
      </c>
      <c r="J85" s="122" t="str">
        <f>IF(ISTEXT(_xll.PIArcVal(Data!J$76,Data!$G85,0,"PI_SERVER","exact time")),"",_xll.PIArcVal(Data!J$76,Data!$G85,0,"PI_SERVER","exact time"))</f>
        <v/>
      </c>
      <c r="K85" s="122" t="str">
        <f t="shared" si="101"/>
        <v/>
      </c>
      <c r="L85" s="122" t="str">
        <f>IF(ISTEXT(_xll.PIArcVal(Data!L$76,Data!$G85,0,"PI_SERVER","exact time")),"",_xll.PIArcVal(Data!L$76,Data!$G85,0,"PI_SERVER","exact time"))</f>
        <v/>
      </c>
      <c r="M85" s="122" t="str">
        <f>IF(ISTEXT(_xll.PIArcVal(Data!M$76,Data!$G85,0,"PI_SERVER","exact time")),"",_xll.PIArcVal(Data!M$76,Data!$G85,0,"PI_SERVER","exact time"))</f>
        <v/>
      </c>
      <c r="N85" s="122" t="str">
        <f t="shared" si="102"/>
        <v/>
      </c>
      <c r="O85" s="123" t="str">
        <f>IF(ISTEXT(_xll.PIArcVal(Data!O$76,Data!$G85,0,"PI_SERVER","exact time")),"",_xll.PIArcVal(Data!O$76,Data!$G85,0,"PI_SERVER","exact time"))</f>
        <v/>
      </c>
      <c r="P85" s="123" t="str">
        <f>IF(ISTEXT(_xll.PIArcVal(Data!P$76,Data!$G85,0,"PI_SERVER","exact time")),"",_xll.PIArcVal(Data!P$76,Data!$G85,0,"PI_SERVER","exact time"))</f>
        <v/>
      </c>
      <c r="Q85" s="123" t="str">
        <f>IF(ISTEXT(_xll.PIArcVal(Data!Q$76,Data!$G85,0,"PI_SERVER","exact time")),"",_xll.PIArcVal(Data!Q$76,Data!$G85,0,"PI_SERVER","exact time"))</f>
        <v/>
      </c>
      <c r="R85" s="123" t="str">
        <f>IF(ISTEXT(_xll.PIArcVal(Data!R$76,Data!$G85,0,"PI_SERVER","exact time")),"",_xll.PIArcVal(Data!R$76,Data!$G85,0,"PI_SERVER","exact time"))</f>
        <v/>
      </c>
      <c r="S85" s="123"/>
      <c r="T85" s="123" t="str">
        <f>IF(ISTEXT(_xll.PIArcVal(Data!T$76,Data!$G85,0,"PI_SERVER","exact time")),"",_xll.PIArcVal(Data!T$76,Data!$G85,0,"PI_SERVER","exact time"))</f>
        <v/>
      </c>
      <c r="U85" s="123" t="str">
        <f>IF(ISTEXT(_xll.PIArcVal(Data!U$76,Data!$G85,0,"PI_SERVER","exact time")),"",_xll.PIArcVal(Data!U$76,Data!$G85,0,"PI_SERVER","exact time"))</f>
        <v/>
      </c>
      <c r="V85" s="123" t="str">
        <f>IF(ISTEXT(_xll.PIArcVal(Data!V$76,Data!$G85,0,"PI_SERVER","exact time")),"",_xll.PIArcVal(Data!V$76,Data!$G85,0,"PI_SERVER","exact time"))</f>
        <v/>
      </c>
      <c r="W85" s="123" t="str">
        <f>IF(ISTEXT(_xll.PIArcVal(Data!W$76,Data!$G85,0,"PI_SERVER","exact time")),"",_xll.PIArcVal(Data!W$76,Data!$G85,0,"PI_SERVER","exact time"))</f>
        <v/>
      </c>
      <c r="X85" s="123" t="str">
        <f>IF(ISTEXT(_xll.PIArcVal(Data!X$76,Data!$G85,0,"PI_SERVER","exact time")),"",_xll.PIArcVal(Data!X$76,Data!$G85,0,"PI_SERVER","exact time"))</f>
        <v/>
      </c>
      <c r="Y85" s="123" t="str">
        <f>IF(ISTEXT(_xll.PIArcVal(Data!Y$76,Data!$G85,0,"PI_SERVER","exact time")),"",_xll.PIArcVal(Data!Y$76,Data!$G85,0,"PI_SERVER","exact time"))</f>
        <v/>
      </c>
      <c r="Z85" s="123" t="str">
        <f>IF(ISTEXT(_xll.PIArcVal(Data!Z$76,Data!$G85,0,"PI_SERVER","exact time")),"",_xll.PIArcVal(Data!Z$76,Data!$G85,0,"PI_SERVER","exact time"))</f>
        <v/>
      </c>
      <c r="AA85" s="123" t="str">
        <f>IF(ISTEXT(_xll.PIArcVal(Data!AA$76,Data!$G85,0,"PI_SERVER","exact time")),"",_xll.PIArcVal(Data!AA$76,Data!$G85,0,"PI_SERVER","exact time"))</f>
        <v/>
      </c>
      <c r="AB85" s="123" t="str">
        <f>IF(ISTEXT(_xll.PIArcVal(Data!AB$76,Data!$G85,0,"PI_SERVER","exact time")),"",_xll.PIArcVal(Data!AB$76,Data!$G85,0,"PI_SERVER","exact time"))</f>
        <v/>
      </c>
      <c r="AC85" s="123" t="str">
        <f>IF(ISTEXT(_xll.PIArcVal(Data!AC$76,Data!$G85,0,"PI_SERVER","exact time")),"",_xll.PIArcVal(Data!AC$76,Data!$G85,0,"PI_SERVER","exact time"))</f>
        <v/>
      </c>
      <c r="AD85" s="123" t="str">
        <f>IF(ISTEXT(_xll.PIArcVal(Data!AD$76,Data!$G85,0,"PI_SERVER","exact time")),"",_xll.PIArcVal(Data!AD$76,Data!$G85,0,"PI_SERVER","exact time"))</f>
        <v/>
      </c>
      <c r="AE85" s="123" t="str">
        <f>IF(ISTEXT(_xll.PIArcVal(Data!AE$76,Data!$G85,0,"PI_SERVER","exact time")),"",_xll.PIArcVal(Data!AE$76,Data!$G85,0,"PI_SERVER","exact time"))</f>
        <v/>
      </c>
      <c r="AF85" s="123" t="str">
        <f>IF(ISTEXT(_xll.PIArcVal(Data!AF$76,Data!$G85,0,"PI_SERVER","exact time")),"",_xll.PIArcVal(Data!AF$76,Data!$G85,0,"PI_SERVER","exact time"))</f>
        <v/>
      </c>
      <c r="AG85" s="123" t="str">
        <f>IF(ISTEXT(_xll.PIArcVal(Data!AG$76,Data!$G85,0,"PI_SERVER","exact time")),"",_xll.PIArcVal(Data!AG$76,Data!$G85,0,"PI_SERVER","exact time"))</f>
        <v/>
      </c>
      <c r="AH85" s="124" t="str">
        <f t="shared" si="100"/>
        <v/>
      </c>
      <c r="AI85" s="66" t="str">
        <f>IF(ISTEXT(_xll.PIArcVal(Data!AI$76,Data!$G85,0,"PI_SERVER","exact time")),"",_xll.PIArcVal(Data!AI$76,Data!$G85,0,"PI_SERVER","exact time"))</f>
        <v/>
      </c>
      <c r="AJ85" s="66" t="str">
        <f>IF(ISTEXT(_xll.PIArcVal(Data!AJ$76,Data!$G85,0,"PI_SERVER","exact time")),"",_xll.PIArcVal(Data!AJ$76,Data!$G85,0,"PI_SERVER","exact time"))</f>
        <v/>
      </c>
      <c r="AK85" s="66" t="str">
        <f>IF(ISTEXT(_xll.PIArcVal(Data!AK$76,Data!$G85,0,"PI_SERVER","exact time")),"",_xll.PIArcVal(Data!AK$76,Data!$G85,0,"PI_SERVER","exact time"))</f>
        <v/>
      </c>
      <c r="AL85" s="69">
        <f t="shared" si="103"/>
        <v>0</v>
      </c>
      <c r="AM85" s="18"/>
      <c r="AN85" s="18"/>
      <c r="AO85" s="18"/>
      <c r="AQ85" s="13"/>
    </row>
    <row r="86" spans="7:43" ht="20.25" x14ac:dyDescent="0.25">
      <c r="G86" s="64"/>
      <c r="H86" s="65"/>
      <c r="I86" s="122" t="str">
        <f>IF(ISTEXT(_xll.PIArcVal(Data!I$76,Data!$G86,0,"PI_SERVER","exact time")),"",_xll.PIArcVal(Data!I$76,Data!$G86,0,"PI_SERVER","exact time"))</f>
        <v/>
      </c>
      <c r="J86" s="122" t="str">
        <f>IF(ISTEXT(_xll.PIArcVal(Data!J$76,Data!$G86,0,"PI_SERVER","exact time")),"",_xll.PIArcVal(Data!J$76,Data!$G86,0,"PI_SERVER","exact time"))</f>
        <v/>
      </c>
      <c r="K86" s="122" t="str">
        <f t="shared" si="101"/>
        <v/>
      </c>
      <c r="L86" s="122" t="str">
        <f>IF(ISTEXT(_xll.PIArcVal(Data!L$76,Data!$G86,0,"PI_SERVER","exact time")),"",_xll.PIArcVal(Data!L$76,Data!$G86,0,"PI_SERVER","exact time"))</f>
        <v/>
      </c>
      <c r="M86" s="122" t="str">
        <f>IF(ISTEXT(_xll.PIArcVal(Data!M$76,Data!$G86,0,"PI_SERVER","exact time")),"",_xll.PIArcVal(Data!M$76,Data!$G86,0,"PI_SERVER","exact time"))</f>
        <v/>
      </c>
      <c r="N86" s="122" t="str">
        <f t="shared" si="102"/>
        <v/>
      </c>
      <c r="O86" s="123" t="str">
        <f>IF(ISTEXT(_xll.PIArcVal(Data!O$76,Data!$G86,0,"PI_SERVER","exact time")),"",_xll.PIArcVal(Data!O$76,Data!$G86,0,"PI_SERVER","exact time"))</f>
        <v/>
      </c>
      <c r="P86" s="123" t="str">
        <f>IF(ISTEXT(_xll.PIArcVal(Data!P$76,Data!$G86,0,"PI_SERVER","exact time")),"",_xll.PIArcVal(Data!P$76,Data!$G86,0,"PI_SERVER","exact time"))</f>
        <v/>
      </c>
      <c r="Q86" s="123" t="str">
        <f>IF(ISTEXT(_xll.PIArcVal(Data!Q$76,Data!$G86,0,"PI_SERVER","exact time")),"",_xll.PIArcVal(Data!Q$76,Data!$G86,0,"PI_SERVER","exact time"))</f>
        <v/>
      </c>
      <c r="R86" s="123" t="str">
        <f>IF(ISTEXT(_xll.PIArcVal(Data!R$76,Data!$G86,0,"PI_SERVER","exact time")),"",_xll.PIArcVal(Data!R$76,Data!$G86,0,"PI_SERVER","exact time"))</f>
        <v/>
      </c>
      <c r="S86" s="123"/>
      <c r="T86" s="123" t="str">
        <f>IF(ISTEXT(_xll.PIArcVal(Data!T$76,Data!$G86,0,"PI_SERVER","exact time")),"",_xll.PIArcVal(Data!T$76,Data!$G86,0,"PI_SERVER","exact time"))</f>
        <v/>
      </c>
      <c r="U86" s="123" t="str">
        <f>IF(ISTEXT(_xll.PIArcVal(Data!U$76,Data!$G86,0,"PI_SERVER","exact time")),"",_xll.PIArcVal(Data!U$76,Data!$G86,0,"PI_SERVER","exact time"))</f>
        <v/>
      </c>
      <c r="V86" s="123" t="str">
        <f>IF(ISTEXT(_xll.PIArcVal(Data!V$76,Data!$G86,0,"PI_SERVER","exact time")),"",_xll.PIArcVal(Data!V$76,Data!$G86,0,"PI_SERVER","exact time"))</f>
        <v/>
      </c>
      <c r="W86" s="123" t="str">
        <f>IF(ISTEXT(_xll.PIArcVal(Data!W$76,Data!$G86,0,"PI_SERVER","exact time")),"",_xll.PIArcVal(Data!W$76,Data!$G86,0,"PI_SERVER","exact time"))</f>
        <v/>
      </c>
      <c r="X86" s="123" t="str">
        <f>IF(ISTEXT(_xll.PIArcVal(Data!X$76,Data!$G86,0,"PI_SERVER","exact time")),"",_xll.PIArcVal(Data!X$76,Data!$G86,0,"PI_SERVER","exact time"))</f>
        <v/>
      </c>
      <c r="Y86" s="123" t="str">
        <f>IF(ISTEXT(_xll.PIArcVal(Data!Y$76,Data!$G86,0,"PI_SERVER","exact time")),"",_xll.PIArcVal(Data!Y$76,Data!$G86,0,"PI_SERVER","exact time"))</f>
        <v/>
      </c>
      <c r="Z86" s="123" t="str">
        <f>IF(ISTEXT(_xll.PIArcVal(Data!Z$76,Data!$G86,0,"PI_SERVER","exact time")),"",_xll.PIArcVal(Data!Z$76,Data!$G86,0,"PI_SERVER","exact time"))</f>
        <v/>
      </c>
      <c r="AA86" s="123" t="str">
        <f>IF(ISTEXT(_xll.PIArcVal(Data!AA$76,Data!$G86,0,"PI_SERVER","exact time")),"",_xll.PIArcVal(Data!AA$76,Data!$G86,0,"PI_SERVER","exact time"))</f>
        <v/>
      </c>
      <c r="AB86" s="123" t="str">
        <f>IF(ISTEXT(_xll.PIArcVal(Data!AB$76,Data!$G86,0,"PI_SERVER","exact time")),"",_xll.PIArcVal(Data!AB$76,Data!$G86,0,"PI_SERVER","exact time"))</f>
        <v/>
      </c>
      <c r="AC86" s="123" t="str">
        <f>IF(ISTEXT(_xll.PIArcVal(Data!AC$76,Data!$G86,0,"PI_SERVER","exact time")),"",_xll.PIArcVal(Data!AC$76,Data!$G86,0,"PI_SERVER","exact time"))</f>
        <v/>
      </c>
      <c r="AD86" s="123" t="str">
        <f>IF(ISTEXT(_xll.PIArcVal(Data!AD$76,Data!$G86,0,"PI_SERVER","exact time")),"",_xll.PIArcVal(Data!AD$76,Data!$G86,0,"PI_SERVER","exact time"))</f>
        <v/>
      </c>
      <c r="AE86" s="123" t="str">
        <f>IF(ISTEXT(_xll.PIArcVal(Data!AE$76,Data!$G86,0,"PI_SERVER","exact time")),"",_xll.PIArcVal(Data!AE$76,Data!$G86,0,"PI_SERVER","exact time"))</f>
        <v/>
      </c>
      <c r="AF86" s="123" t="str">
        <f>IF(ISTEXT(_xll.PIArcVal(Data!AF$76,Data!$G86,0,"PI_SERVER","exact time")),"",_xll.PIArcVal(Data!AF$76,Data!$G86,0,"PI_SERVER","exact time"))</f>
        <v/>
      </c>
      <c r="AG86" s="123" t="str">
        <f>IF(ISTEXT(_xll.PIArcVal(Data!AG$76,Data!$G86,0,"PI_SERVER","exact time")),"",_xll.PIArcVal(Data!AG$76,Data!$G86,0,"PI_SERVER","exact time"))</f>
        <v/>
      </c>
      <c r="AH86" s="124" t="str">
        <f t="shared" si="100"/>
        <v/>
      </c>
      <c r="AI86" s="66" t="str">
        <f>IF(ISTEXT(_xll.PIArcVal(Data!AI$76,Data!$G86,0,"PI_SERVER","exact time")),"",_xll.PIArcVal(Data!AI$76,Data!$G86,0,"PI_SERVER","exact time"))</f>
        <v/>
      </c>
      <c r="AJ86" s="66" t="str">
        <f>IF(ISTEXT(_xll.PIArcVal(Data!AJ$76,Data!$G86,0,"PI_SERVER","exact time")),"",_xll.PIArcVal(Data!AJ$76,Data!$G86,0,"PI_SERVER","exact time"))</f>
        <v/>
      </c>
      <c r="AK86" s="66" t="str">
        <f>IF(ISTEXT(_xll.PIArcVal(Data!AK$76,Data!$G86,0,"PI_SERVER","exact time")),"",_xll.PIArcVal(Data!AK$76,Data!$G86,0,"PI_SERVER","exact time"))</f>
        <v/>
      </c>
      <c r="AL86" s="69">
        <f t="shared" si="103"/>
        <v>0</v>
      </c>
      <c r="AM86" s="18"/>
      <c r="AN86" s="18"/>
      <c r="AO86" s="18"/>
      <c r="AQ86" s="13"/>
    </row>
    <row r="87" spans="7:43" ht="20.25" x14ac:dyDescent="0.25">
      <c r="G87" s="64"/>
      <c r="H87" s="65"/>
      <c r="I87" s="122" t="str">
        <f>IF(ISTEXT(_xll.PIArcVal(Data!I$76,Data!$G87,0,"PI_SERVER","exact time")),"",_xll.PIArcVal(Data!I$76,Data!$G87,0,"PI_SERVER","exact time"))</f>
        <v/>
      </c>
      <c r="J87" s="122" t="str">
        <f>IF(ISTEXT(_xll.PIArcVal(Data!J$76,Data!$G87,0,"PI_SERVER","exact time")),"",_xll.PIArcVal(Data!J$76,Data!$G87,0,"PI_SERVER","exact time"))</f>
        <v/>
      </c>
      <c r="K87" s="122" t="str">
        <f t="shared" si="101"/>
        <v/>
      </c>
      <c r="L87" s="122" t="str">
        <f>IF(ISTEXT(_xll.PIArcVal(Data!L$76,Data!$G87,0,"PI_SERVER","exact time")),"",_xll.PIArcVal(Data!L$76,Data!$G87,0,"PI_SERVER","exact time"))</f>
        <v/>
      </c>
      <c r="M87" s="122" t="str">
        <f>IF(ISTEXT(_xll.PIArcVal(Data!M$76,Data!$G87,0,"PI_SERVER","exact time")),"",_xll.PIArcVal(Data!M$76,Data!$G87,0,"PI_SERVER","exact time"))</f>
        <v/>
      </c>
      <c r="N87" s="122" t="str">
        <f t="shared" si="102"/>
        <v/>
      </c>
      <c r="O87" s="123" t="str">
        <f>IF(ISTEXT(_xll.PIArcVal(Data!O$76,Data!$G87,0,"PI_SERVER","exact time")),"",_xll.PIArcVal(Data!O$76,Data!$G87,0,"PI_SERVER","exact time"))</f>
        <v/>
      </c>
      <c r="P87" s="123" t="str">
        <f>IF(ISTEXT(_xll.PIArcVal(Data!P$76,Data!$G87,0,"PI_SERVER","exact time")),"",_xll.PIArcVal(Data!P$76,Data!$G87,0,"PI_SERVER","exact time"))</f>
        <v/>
      </c>
      <c r="Q87" s="123" t="str">
        <f>IF(ISTEXT(_xll.PIArcVal(Data!Q$76,Data!$G87,0,"PI_SERVER","exact time")),"",_xll.PIArcVal(Data!Q$76,Data!$G87,0,"PI_SERVER","exact time"))</f>
        <v/>
      </c>
      <c r="R87" s="123" t="str">
        <f>IF(ISTEXT(_xll.PIArcVal(Data!R$76,Data!$G87,0,"PI_SERVER","exact time")),"",_xll.PIArcVal(Data!R$76,Data!$G87,0,"PI_SERVER","exact time"))</f>
        <v/>
      </c>
      <c r="S87" s="123"/>
      <c r="T87" s="123" t="str">
        <f>IF(ISTEXT(_xll.PIArcVal(Data!T$76,Data!$G87,0,"PI_SERVER","exact time")),"",_xll.PIArcVal(Data!T$76,Data!$G87,0,"PI_SERVER","exact time"))</f>
        <v/>
      </c>
      <c r="U87" s="123" t="str">
        <f>IF(ISTEXT(_xll.PIArcVal(Data!U$76,Data!$G87,0,"PI_SERVER","exact time")),"",_xll.PIArcVal(Data!U$76,Data!$G87,0,"PI_SERVER","exact time"))</f>
        <v/>
      </c>
      <c r="V87" s="123" t="str">
        <f>IF(ISTEXT(_xll.PIArcVal(Data!V$76,Data!$G87,0,"PI_SERVER","exact time")),"",_xll.PIArcVal(Data!V$76,Data!$G87,0,"PI_SERVER","exact time"))</f>
        <v/>
      </c>
      <c r="W87" s="123" t="str">
        <f>IF(ISTEXT(_xll.PIArcVal(Data!W$76,Data!$G87,0,"PI_SERVER","exact time")),"",_xll.PIArcVal(Data!W$76,Data!$G87,0,"PI_SERVER","exact time"))</f>
        <v/>
      </c>
      <c r="X87" s="123" t="str">
        <f>IF(ISTEXT(_xll.PIArcVal(Data!X$76,Data!$G87,0,"PI_SERVER","exact time")),"",_xll.PIArcVal(Data!X$76,Data!$G87,0,"PI_SERVER","exact time"))</f>
        <v/>
      </c>
      <c r="Y87" s="123" t="str">
        <f>IF(ISTEXT(_xll.PIArcVal(Data!Y$76,Data!$G87,0,"PI_SERVER","exact time")),"",_xll.PIArcVal(Data!Y$76,Data!$G87,0,"PI_SERVER","exact time"))</f>
        <v/>
      </c>
      <c r="Z87" s="123" t="str">
        <f>IF(ISTEXT(_xll.PIArcVal(Data!Z$76,Data!$G87,0,"PI_SERVER","exact time")),"",_xll.PIArcVal(Data!Z$76,Data!$G87,0,"PI_SERVER","exact time"))</f>
        <v/>
      </c>
      <c r="AA87" s="123" t="str">
        <f>IF(ISTEXT(_xll.PIArcVal(Data!AA$76,Data!$G87,0,"PI_SERVER","exact time")),"",_xll.PIArcVal(Data!AA$76,Data!$G87,0,"PI_SERVER","exact time"))</f>
        <v/>
      </c>
      <c r="AB87" s="123" t="str">
        <f>IF(ISTEXT(_xll.PIArcVal(Data!AB$76,Data!$G87,0,"PI_SERVER","exact time")),"",_xll.PIArcVal(Data!AB$76,Data!$G87,0,"PI_SERVER","exact time"))</f>
        <v/>
      </c>
      <c r="AC87" s="123" t="str">
        <f>IF(ISTEXT(_xll.PIArcVal(Data!AC$76,Data!$G87,0,"PI_SERVER","exact time")),"",_xll.PIArcVal(Data!AC$76,Data!$G87,0,"PI_SERVER","exact time"))</f>
        <v/>
      </c>
      <c r="AD87" s="123" t="str">
        <f>IF(ISTEXT(_xll.PIArcVal(Data!AD$76,Data!$G87,0,"PI_SERVER","exact time")),"",_xll.PIArcVal(Data!AD$76,Data!$G87,0,"PI_SERVER","exact time"))</f>
        <v/>
      </c>
      <c r="AE87" s="123" t="str">
        <f>IF(ISTEXT(_xll.PIArcVal(Data!AE$76,Data!$G87,0,"PI_SERVER","exact time")),"",_xll.PIArcVal(Data!AE$76,Data!$G87,0,"PI_SERVER","exact time"))</f>
        <v/>
      </c>
      <c r="AF87" s="123" t="str">
        <f>IF(ISTEXT(_xll.PIArcVal(Data!AF$76,Data!$G87,0,"PI_SERVER","exact time")),"",_xll.PIArcVal(Data!AF$76,Data!$G87,0,"PI_SERVER","exact time"))</f>
        <v/>
      </c>
      <c r="AG87" s="123" t="str">
        <f>IF(ISTEXT(_xll.PIArcVal(Data!AG$76,Data!$G87,0,"PI_SERVER","exact time")),"",_xll.PIArcVal(Data!AG$76,Data!$G87,0,"PI_SERVER","exact time"))</f>
        <v/>
      </c>
      <c r="AH87" s="124" t="str">
        <f t="shared" si="100"/>
        <v/>
      </c>
      <c r="AI87" s="66" t="str">
        <f>IF(ISTEXT(_xll.PIArcVal(Data!AI$76,Data!$G87,0,"PI_SERVER","exact time")),"",_xll.PIArcVal(Data!AI$76,Data!$G87,0,"PI_SERVER","exact time"))</f>
        <v/>
      </c>
      <c r="AJ87" s="66" t="str">
        <f>IF(ISTEXT(_xll.PIArcVal(Data!AJ$76,Data!$G87,0,"PI_SERVER","exact time")),"",_xll.PIArcVal(Data!AJ$76,Data!$G87,0,"PI_SERVER","exact time"))</f>
        <v/>
      </c>
      <c r="AK87" s="66" t="str">
        <f>IF(ISTEXT(_xll.PIArcVal(Data!AK$76,Data!$G87,0,"PI_SERVER","exact time")),"",_xll.PIArcVal(Data!AK$76,Data!$G87,0,"PI_SERVER","exact time"))</f>
        <v/>
      </c>
      <c r="AL87" s="69">
        <f t="shared" si="103"/>
        <v>0</v>
      </c>
      <c r="AM87" s="18"/>
      <c r="AN87" s="18"/>
      <c r="AO87" s="18"/>
      <c r="AQ87" s="13"/>
    </row>
    <row r="88" spans="7:43" ht="20.25" x14ac:dyDescent="0.25">
      <c r="G88" s="64"/>
      <c r="H88" s="65"/>
      <c r="I88" s="122" t="str">
        <f>IF(ISTEXT(_xll.PIArcVal(Data!I$76,Data!$G88,0,"PI_SERVER","exact time")),"",_xll.PIArcVal(Data!I$76,Data!$G88,0,"PI_SERVER","exact time"))</f>
        <v/>
      </c>
      <c r="J88" s="122" t="str">
        <f>IF(ISTEXT(_xll.PIArcVal(Data!J$76,Data!$G88,0,"PI_SERVER","exact time")),"",_xll.PIArcVal(Data!J$76,Data!$G88,0,"PI_SERVER","exact time"))</f>
        <v/>
      </c>
      <c r="K88" s="122" t="str">
        <f t="shared" si="101"/>
        <v/>
      </c>
      <c r="L88" s="122" t="str">
        <f>IF(ISTEXT(_xll.PIArcVal(Data!L$76,Data!$G88,0,"PI_SERVER","exact time")),"",_xll.PIArcVal(Data!L$76,Data!$G88,0,"PI_SERVER","exact time"))</f>
        <v/>
      </c>
      <c r="M88" s="122" t="str">
        <f>IF(ISTEXT(_xll.PIArcVal(Data!M$76,Data!$G88,0,"PI_SERVER","exact time")),"",_xll.PIArcVal(Data!M$76,Data!$G88,0,"PI_SERVER","exact time"))</f>
        <v/>
      </c>
      <c r="N88" s="122" t="str">
        <f t="shared" si="102"/>
        <v/>
      </c>
      <c r="O88" s="123" t="str">
        <f>IF(ISTEXT(_xll.PIArcVal(Data!O$76,Data!$G88,0,"PI_SERVER","exact time")),"",_xll.PIArcVal(Data!O$76,Data!$G88,0,"PI_SERVER","exact time"))</f>
        <v/>
      </c>
      <c r="P88" s="123" t="str">
        <f>IF(ISTEXT(_xll.PIArcVal(Data!P$76,Data!$G88,0,"PI_SERVER","exact time")),"",_xll.PIArcVal(Data!P$76,Data!$G88,0,"PI_SERVER","exact time"))</f>
        <v/>
      </c>
      <c r="Q88" s="123" t="str">
        <f>IF(ISTEXT(_xll.PIArcVal(Data!Q$76,Data!$G88,0,"PI_SERVER","exact time")),"",_xll.PIArcVal(Data!Q$76,Data!$G88,0,"PI_SERVER","exact time"))</f>
        <v/>
      </c>
      <c r="R88" s="123" t="str">
        <f>IF(ISTEXT(_xll.PIArcVal(Data!R$76,Data!$G88,0,"PI_SERVER","exact time")),"",_xll.PIArcVal(Data!R$76,Data!$G88,0,"PI_SERVER","exact time"))</f>
        <v/>
      </c>
      <c r="S88" s="123"/>
      <c r="T88" s="123" t="str">
        <f>IF(ISTEXT(_xll.PIArcVal(Data!T$76,Data!$G88,0,"PI_SERVER","exact time")),"",_xll.PIArcVal(Data!T$76,Data!$G88,0,"PI_SERVER","exact time"))</f>
        <v/>
      </c>
      <c r="U88" s="123" t="str">
        <f>IF(ISTEXT(_xll.PIArcVal(Data!U$76,Data!$G88,0,"PI_SERVER","exact time")),"",_xll.PIArcVal(Data!U$76,Data!$G88,0,"PI_SERVER","exact time"))</f>
        <v/>
      </c>
      <c r="V88" s="123" t="str">
        <f>IF(ISTEXT(_xll.PIArcVal(Data!V$76,Data!$G88,0,"PI_SERVER","exact time")),"",_xll.PIArcVal(Data!V$76,Data!$G88,0,"PI_SERVER","exact time"))</f>
        <v/>
      </c>
      <c r="W88" s="123" t="str">
        <f>IF(ISTEXT(_xll.PIArcVal(Data!W$76,Data!$G88,0,"PI_SERVER","exact time")),"",_xll.PIArcVal(Data!W$76,Data!$G88,0,"PI_SERVER","exact time"))</f>
        <v/>
      </c>
      <c r="X88" s="123" t="str">
        <f>IF(ISTEXT(_xll.PIArcVal(Data!X$76,Data!$G88,0,"PI_SERVER","exact time")),"",_xll.PIArcVal(Data!X$76,Data!$G88,0,"PI_SERVER","exact time"))</f>
        <v/>
      </c>
      <c r="Y88" s="123" t="str">
        <f>IF(ISTEXT(_xll.PIArcVal(Data!Y$76,Data!$G88,0,"PI_SERVER","exact time")),"",_xll.PIArcVal(Data!Y$76,Data!$G88,0,"PI_SERVER","exact time"))</f>
        <v/>
      </c>
      <c r="Z88" s="123" t="str">
        <f>IF(ISTEXT(_xll.PIArcVal(Data!Z$76,Data!$G88,0,"PI_SERVER","exact time")),"",_xll.PIArcVal(Data!Z$76,Data!$G88,0,"PI_SERVER","exact time"))</f>
        <v/>
      </c>
      <c r="AA88" s="123" t="str">
        <f>IF(ISTEXT(_xll.PIArcVal(Data!AA$76,Data!$G88,0,"PI_SERVER","exact time")),"",_xll.PIArcVal(Data!AA$76,Data!$G88,0,"PI_SERVER","exact time"))</f>
        <v/>
      </c>
      <c r="AB88" s="123" t="str">
        <f>IF(ISTEXT(_xll.PIArcVal(Data!AB$76,Data!$G88,0,"PI_SERVER","exact time")),"",_xll.PIArcVal(Data!AB$76,Data!$G88,0,"PI_SERVER","exact time"))</f>
        <v/>
      </c>
      <c r="AC88" s="123" t="str">
        <f>IF(ISTEXT(_xll.PIArcVal(Data!AC$76,Data!$G88,0,"PI_SERVER","exact time")),"",_xll.PIArcVal(Data!AC$76,Data!$G88,0,"PI_SERVER","exact time"))</f>
        <v/>
      </c>
      <c r="AD88" s="123" t="str">
        <f>IF(ISTEXT(_xll.PIArcVal(Data!AD$76,Data!$G88,0,"PI_SERVER","exact time")),"",_xll.PIArcVal(Data!AD$76,Data!$G88,0,"PI_SERVER","exact time"))</f>
        <v/>
      </c>
      <c r="AE88" s="123" t="str">
        <f>IF(ISTEXT(_xll.PIArcVal(Data!AE$76,Data!$G88,0,"PI_SERVER","exact time")),"",_xll.PIArcVal(Data!AE$76,Data!$G88,0,"PI_SERVER","exact time"))</f>
        <v/>
      </c>
      <c r="AF88" s="123" t="str">
        <f>IF(ISTEXT(_xll.PIArcVal(Data!AF$76,Data!$G88,0,"PI_SERVER","exact time")),"",_xll.PIArcVal(Data!AF$76,Data!$G88,0,"PI_SERVER","exact time"))</f>
        <v/>
      </c>
      <c r="AG88" s="123" t="str">
        <f>IF(ISTEXT(_xll.PIArcVal(Data!AG$76,Data!$G88,0,"PI_SERVER","exact time")),"",_xll.PIArcVal(Data!AG$76,Data!$G88,0,"PI_SERVER","exact time"))</f>
        <v/>
      </c>
      <c r="AH88" s="124" t="str">
        <f t="shared" si="100"/>
        <v/>
      </c>
      <c r="AI88" s="66" t="str">
        <f>IF(ISTEXT(_xll.PIArcVal(Data!AI$76,Data!$G88,0,"PI_SERVER","exact time")),"",_xll.PIArcVal(Data!AI$76,Data!$G88,0,"PI_SERVER","exact time"))</f>
        <v/>
      </c>
      <c r="AJ88" s="66" t="str">
        <f>IF(ISTEXT(_xll.PIArcVal(Data!AJ$76,Data!$G88,0,"PI_SERVER","exact time")),"",_xll.PIArcVal(Data!AJ$76,Data!$G88,0,"PI_SERVER","exact time"))</f>
        <v/>
      </c>
      <c r="AK88" s="66" t="str">
        <f>IF(ISTEXT(_xll.PIArcVal(Data!AK$76,Data!$G88,0,"PI_SERVER","exact time")),"",_xll.PIArcVal(Data!AK$76,Data!$G88,0,"PI_SERVER","exact time"))</f>
        <v/>
      </c>
      <c r="AL88" s="69">
        <f t="shared" si="103"/>
        <v>0</v>
      </c>
      <c r="AM88" s="18"/>
      <c r="AN88" s="18"/>
      <c r="AO88" s="18"/>
      <c r="AQ88" s="13"/>
    </row>
    <row r="89" spans="7:43" ht="20.25" x14ac:dyDescent="0.25">
      <c r="G89" s="64"/>
      <c r="H89" s="65"/>
      <c r="I89" s="122" t="str">
        <f>IF(ISTEXT(_xll.PIArcVal(Data!I$76,Data!$G89,0,"PI_SERVER","exact time")),"",_xll.PIArcVal(Data!I$76,Data!$G89,0,"PI_SERVER","exact time"))</f>
        <v/>
      </c>
      <c r="J89" s="122" t="str">
        <f>IF(ISTEXT(_xll.PIArcVal(Data!J$76,Data!$G89,0,"PI_SERVER","exact time")),"",_xll.PIArcVal(Data!J$76,Data!$G89,0,"PI_SERVER","exact time"))</f>
        <v/>
      </c>
      <c r="K89" s="122" t="str">
        <f t="shared" si="101"/>
        <v/>
      </c>
      <c r="L89" s="122" t="str">
        <f>IF(ISTEXT(_xll.PIArcVal(Data!L$76,Data!$G89,0,"PI_SERVER","exact time")),"",_xll.PIArcVal(Data!L$76,Data!$G89,0,"PI_SERVER","exact time"))</f>
        <v/>
      </c>
      <c r="M89" s="122" t="str">
        <f>IF(ISTEXT(_xll.PIArcVal(Data!M$76,Data!$G89,0,"PI_SERVER","exact time")),"",_xll.PIArcVal(Data!M$76,Data!$G89,0,"PI_SERVER","exact time"))</f>
        <v/>
      </c>
      <c r="N89" s="122" t="str">
        <f t="shared" si="102"/>
        <v/>
      </c>
      <c r="O89" s="123" t="str">
        <f>IF(ISTEXT(_xll.PIArcVal(Data!O$76,Data!$G89,0,"PI_SERVER","exact time")),"",_xll.PIArcVal(Data!O$76,Data!$G89,0,"PI_SERVER","exact time"))</f>
        <v/>
      </c>
      <c r="P89" s="123" t="str">
        <f>IF(ISTEXT(_xll.PIArcVal(Data!P$76,Data!$G89,0,"PI_SERVER","exact time")),"",_xll.PIArcVal(Data!P$76,Data!$G89,0,"PI_SERVER","exact time"))</f>
        <v/>
      </c>
      <c r="Q89" s="123" t="str">
        <f>IF(ISTEXT(_xll.PIArcVal(Data!Q$76,Data!$G89,0,"PI_SERVER","exact time")),"",_xll.PIArcVal(Data!Q$76,Data!$G89,0,"PI_SERVER","exact time"))</f>
        <v/>
      </c>
      <c r="R89" s="123" t="str">
        <f>IF(ISTEXT(_xll.PIArcVal(Data!R$76,Data!$G89,0,"PI_SERVER","exact time")),"",_xll.PIArcVal(Data!R$76,Data!$G89,0,"PI_SERVER","exact time"))</f>
        <v/>
      </c>
      <c r="S89" s="123"/>
      <c r="T89" s="123" t="str">
        <f>IF(ISTEXT(_xll.PIArcVal(Data!T$76,Data!$G89,0,"PI_SERVER","exact time")),"",_xll.PIArcVal(Data!T$76,Data!$G89,0,"PI_SERVER","exact time"))</f>
        <v/>
      </c>
      <c r="U89" s="123" t="str">
        <f>IF(ISTEXT(_xll.PIArcVal(Data!U$76,Data!$G89,0,"PI_SERVER","exact time")),"",_xll.PIArcVal(Data!U$76,Data!$G89,0,"PI_SERVER","exact time"))</f>
        <v/>
      </c>
      <c r="V89" s="123" t="str">
        <f>IF(ISTEXT(_xll.PIArcVal(Data!V$76,Data!$G89,0,"PI_SERVER","exact time")),"",_xll.PIArcVal(Data!V$76,Data!$G89,0,"PI_SERVER","exact time"))</f>
        <v/>
      </c>
      <c r="W89" s="123" t="str">
        <f>IF(ISTEXT(_xll.PIArcVal(Data!W$76,Data!$G89,0,"PI_SERVER","exact time")),"",_xll.PIArcVal(Data!W$76,Data!$G89,0,"PI_SERVER","exact time"))</f>
        <v/>
      </c>
      <c r="X89" s="123" t="str">
        <f>IF(ISTEXT(_xll.PIArcVal(Data!X$76,Data!$G89,0,"PI_SERVER","exact time")),"",_xll.PIArcVal(Data!X$76,Data!$G89,0,"PI_SERVER","exact time"))</f>
        <v/>
      </c>
      <c r="Y89" s="123" t="str">
        <f>IF(ISTEXT(_xll.PIArcVal(Data!Y$76,Data!$G89,0,"PI_SERVER","exact time")),"",_xll.PIArcVal(Data!Y$76,Data!$G89,0,"PI_SERVER","exact time"))</f>
        <v/>
      </c>
      <c r="Z89" s="123" t="str">
        <f>IF(ISTEXT(_xll.PIArcVal(Data!Z$76,Data!$G89,0,"PI_SERVER","exact time")),"",_xll.PIArcVal(Data!Z$76,Data!$G89,0,"PI_SERVER","exact time"))</f>
        <v/>
      </c>
      <c r="AA89" s="123" t="str">
        <f>IF(ISTEXT(_xll.PIArcVal(Data!AA$76,Data!$G89,0,"PI_SERVER","exact time")),"",_xll.PIArcVal(Data!AA$76,Data!$G89,0,"PI_SERVER","exact time"))</f>
        <v/>
      </c>
      <c r="AB89" s="123" t="str">
        <f>IF(ISTEXT(_xll.PIArcVal(Data!AB$76,Data!$G89,0,"PI_SERVER","exact time")),"",_xll.PIArcVal(Data!AB$76,Data!$G89,0,"PI_SERVER","exact time"))</f>
        <v/>
      </c>
      <c r="AC89" s="123" t="str">
        <f>IF(ISTEXT(_xll.PIArcVal(Data!AC$76,Data!$G89,0,"PI_SERVER","exact time")),"",_xll.PIArcVal(Data!AC$76,Data!$G89,0,"PI_SERVER","exact time"))</f>
        <v/>
      </c>
      <c r="AD89" s="123" t="str">
        <f>IF(ISTEXT(_xll.PIArcVal(Data!AD$76,Data!$G89,0,"PI_SERVER","exact time")),"",_xll.PIArcVal(Data!AD$76,Data!$G89,0,"PI_SERVER","exact time"))</f>
        <v/>
      </c>
      <c r="AE89" s="123" t="str">
        <f>IF(ISTEXT(_xll.PIArcVal(Data!AE$76,Data!$G89,0,"PI_SERVER","exact time")),"",_xll.PIArcVal(Data!AE$76,Data!$G89,0,"PI_SERVER","exact time"))</f>
        <v/>
      </c>
      <c r="AF89" s="123" t="str">
        <f>IF(ISTEXT(_xll.PIArcVal(Data!AF$76,Data!$G89,0,"PI_SERVER","exact time")),"",_xll.PIArcVal(Data!AF$76,Data!$G89,0,"PI_SERVER","exact time"))</f>
        <v/>
      </c>
      <c r="AG89" s="123" t="str">
        <f>IF(ISTEXT(_xll.PIArcVal(Data!AG$76,Data!$G89,0,"PI_SERVER","exact time")),"",_xll.PIArcVal(Data!AG$76,Data!$G89,0,"PI_SERVER","exact time"))</f>
        <v/>
      </c>
      <c r="AH89" s="124" t="str">
        <f t="shared" si="100"/>
        <v/>
      </c>
      <c r="AI89" s="66" t="str">
        <f>IF(ISTEXT(_xll.PIArcVal(Data!AI$76,Data!$G89,0,"PI_SERVER","exact time")),"",_xll.PIArcVal(Data!AI$76,Data!$G89,0,"PI_SERVER","exact time"))</f>
        <v/>
      </c>
      <c r="AJ89" s="66" t="str">
        <f>IF(ISTEXT(_xll.PIArcVal(Data!AJ$76,Data!$G89,0,"PI_SERVER","exact time")),"",_xll.PIArcVal(Data!AJ$76,Data!$G89,0,"PI_SERVER","exact time"))</f>
        <v/>
      </c>
      <c r="AK89" s="66" t="str">
        <f>IF(ISTEXT(_xll.PIArcVal(Data!AK$76,Data!$G89,0,"PI_SERVER","exact time")),"",_xll.PIArcVal(Data!AK$76,Data!$G89,0,"PI_SERVER","exact time"))</f>
        <v/>
      </c>
      <c r="AL89" s="69">
        <f t="shared" si="103"/>
        <v>0</v>
      </c>
      <c r="AM89" s="18"/>
      <c r="AN89" s="18"/>
      <c r="AO89" s="18"/>
      <c r="AQ89" s="13"/>
    </row>
    <row r="90" spans="7:43" x14ac:dyDescent="0.25">
      <c r="G90" s="15"/>
      <c r="H90" s="25"/>
      <c r="I90" s="131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5"/>
      <c r="AJ90" s="31" t="str">
        <f>IF(ISTEXT(_xll.PIArcVal(Data!AJ$76,Data!$G90,0,"PI_SERVER","exact time")),"",_xll.PIArcVal(Data!AJ$76,Data!$G90,0,"PI_SERVER","exact time"))</f>
        <v/>
      </c>
      <c r="AK90" s="31" t="str">
        <f>IF(ISTEXT(_xll.PIArcVal(Data!AK$76,Data!$G90,0,"PI_SERVER","exact time")),"",_xll.PIArcVal(Data!AK$76,Data!$G90,0,"PI_SERVER","exact time"))</f>
        <v/>
      </c>
      <c r="AL90" s="72"/>
      <c r="AM90" s="26"/>
      <c r="AN90" s="26"/>
      <c r="AO90" s="18"/>
      <c r="AQ90" s="13"/>
    </row>
    <row r="91" spans="7:43" x14ac:dyDescent="0.25">
      <c r="H91" s="4"/>
      <c r="I91" s="109"/>
      <c r="AJ91" s="31" t="str">
        <f>IF(ISTEXT(_xll.PIArcVal(Data!AJ$76,Data!$G91,0,"PI_SERVER","exact time")),"",_xll.PIArcVal(Data!AJ$76,Data!$G91,0,"PI_SERVER","exact time"))</f>
        <v/>
      </c>
      <c r="AK91" s="31" t="str">
        <f>IF(ISTEXT(_xll.PIArcVal(Data!AK$76,Data!$G91,0,"PI_SERVER","exact time")),"",_xll.PIArcVal(Data!AK$76,Data!$G91,0,"PI_SERVER","exact time"))</f>
        <v/>
      </c>
      <c r="AO91" s="18"/>
      <c r="AQ91" s="13"/>
    </row>
    <row r="92" spans="7:43" x14ac:dyDescent="0.25">
      <c r="H92" s="4"/>
      <c r="I92" s="109"/>
      <c r="AJ92" s="31" t="str">
        <f>IF(ISTEXT(_xll.PIArcVal(Data!AJ$76,Data!$G92,0,"PI_SERVER","exact time")),"",_xll.PIArcVal(Data!AJ$76,Data!$G92,0,"PI_SERVER","exact time"))</f>
        <v/>
      </c>
      <c r="AK92" s="31" t="str">
        <f>IF(ISTEXT(_xll.PIArcVal(Data!AK$76,Data!$G92,0,"PI_SERVER","exact time")),"",_xll.PIArcVal(Data!AK$76,Data!$G92,0,"PI_SERVER","exact time"))</f>
        <v/>
      </c>
      <c r="AO92" s="18"/>
      <c r="AQ92" s="13"/>
    </row>
    <row r="93" spans="7:43" x14ac:dyDescent="0.25">
      <c r="H93" s="4"/>
      <c r="I93" s="109"/>
      <c r="AJ93" s="31" t="str">
        <f>IF(ISTEXT(_xll.PIArcVal(Data!AJ$76,Data!$G93,0,"PI_SERVER","exact time")),"",_xll.PIArcVal(Data!AJ$76,Data!$G93,0,"PI_SERVER","exact time"))</f>
        <v/>
      </c>
      <c r="AK93" s="31" t="str">
        <f>IF(ISTEXT(_xll.PIArcVal(Data!AK$76,Data!$G93,0,"PI_SERVER","exact time")),"",_xll.PIArcVal(Data!AK$76,Data!$G93,0,"PI_SERVER","exact time"))</f>
        <v/>
      </c>
      <c r="AO93" s="26"/>
      <c r="AQ93" s="15"/>
    </row>
    <row r="94" spans="7:43" x14ac:dyDescent="0.25">
      <c r="H94" s="4"/>
      <c r="I94" s="109"/>
      <c r="AJ94" s="31" t="str">
        <f>IF(ISTEXT(_xll.PIArcVal(Data!AJ$76,Data!$G94,0,"PI_SERVER","exact time")),"",_xll.PIArcVal(Data!AJ$76,Data!$G94,0,"PI_SERVER","exact time"))</f>
        <v/>
      </c>
      <c r="AK94" s="31" t="str">
        <f>IF(ISTEXT(_xll.PIArcVal(Data!AK$76,Data!$G94,0,"PI_SERVER","exact time")),"",_xll.PIArcVal(Data!AK$76,Data!$G94,0,"PI_SERVER","exact time"))</f>
        <v/>
      </c>
    </row>
    <row r="95" spans="7:43" x14ac:dyDescent="0.25">
      <c r="H95" s="4"/>
      <c r="I95" s="109"/>
      <c r="AJ95" s="31" t="str">
        <f>IF(ISTEXT(_xll.PIArcVal(Data!AJ$76,Data!$G95,0,"PI_SERVER","exact time")),"",_xll.PIArcVal(Data!AJ$76,Data!$G95,0,"PI_SERVER","exact time"))</f>
        <v/>
      </c>
      <c r="AK95" s="31" t="str">
        <f>IF(ISTEXT(_xll.PIArcVal(Data!AK$76,Data!$G95,0,"PI_SERVER","exact time")),"",_xll.PIArcVal(Data!AK$76,Data!$G95,0,"PI_SERVER","exact time"))</f>
        <v/>
      </c>
    </row>
    <row r="96" spans="7:43" x14ac:dyDescent="0.25">
      <c r="H96" s="4"/>
      <c r="I96" s="109"/>
      <c r="AJ96" s="31" t="str">
        <f>IF(ISTEXT(_xll.PIArcVal(Data!AJ$76,Data!$G96,0,"PI_SERVER","exact time")),"",_xll.PIArcVal(Data!AJ$76,Data!$G96,0,"PI_SERVER","exact time"))</f>
        <v/>
      </c>
      <c r="AK96" s="31" t="str">
        <f>IF(ISTEXT(_xll.PIArcVal(Data!AK$76,Data!$G96,0,"PI_SERVER","exact time")),"",_xll.PIArcVal(Data!AK$76,Data!$G96,0,"PI_SERVER","exact time"))</f>
        <v/>
      </c>
    </row>
    <row r="97" spans="1:77" x14ac:dyDescent="0.25">
      <c r="H97" s="4"/>
      <c r="I97" s="109"/>
    </row>
    <row r="98" spans="1:77" ht="51.75" x14ac:dyDescent="0.25">
      <c r="A98" s="43"/>
      <c r="B98" s="7"/>
      <c r="C98" s="7"/>
      <c r="D98" s="7"/>
      <c r="E98" s="7"/>
      <c r="F98" s="7"/>
      <c r="G98" s="294" t="s">
        <v>46</v>
      </c>
      <c r="H98" s="1" t="s">
        <v>88</v>
      </c>
      <c r="I98" s="111" t="s">
        <v>183</v>
      </c>
      <c r="J98" s="111" t="s">
        <v>90</v>
      </c>
      <c r="K98" s="111"/>
      <c r="L98" s="111" t="s">
        <v>89</v>
      </c>
      <c r="M98" s="111" t="s">
        <v>184</v>
      </c>
      <c r="N98" s="111"/>
      <c r="O98" s="112" t="s">
        <v>91</v>
      </c>
      <c r="P98" s="113" t="s">
        <v>92</v>
      </c>
      <c r="Q98" s="113" t="s">
        <v>93</v>
      </c>
      <c r="R98" s="113" t="s">
        <v>185</v>
      </c>
      <c r="S98" s="114" t="s">
        <v>166</v>
      </c>
      <c r="T98" s="113" t="s">
        <v>94</v>
      </c>
      <c r="U98" s="115" t="s">
        <v>95</v>
      </c>
      <c r="V98" s="115" t="s">
        <v>96</v>
      </c>
      <c r="W98" s="113" t="s">
        <v>97</v>
      </c>
      <c r="X98" s="113" t="s">
        <v>98</v>
      </c>
      <c r="Y98" s="113" t="s">
        <v>99</v>
      </c>
      <c r="Z98" s="115" t="s">
        <v>100</v>
      </c>
      <c r="AA98" s="115" t="s">
        <v>101</v>
      </c>
      <c r="AB98" s="116" t="s">
        <v>102</v>
      </c>
      <c r="AC98" s="117" t="s">
        <v>103</v>
      </c>
      <c r="AD98" s="113" t="s">
        <v>104</v>
      </c>
      <c r="AE98" s="113" t="s">
        <v>105</v>
      </c>
      <c r="AF98" s="113" t="s">
        <v>106</v>
      </c>
      <c r="AG98" s="113" t="s">
        <v>186</v>
      </c>
      <c r="AH98" s="114" t="s">
        <v>166</v>
      </c>
      <c r="AI98" s="2" t="s">
        <v>107</v>
      </c>
      <c r="AJ98" s="30" t="s">
        <v>158</v>
      </c>
      <c r="AK98" s="30" t="s">
        <v>208</v>
      </c>
      <c r="AL98" s="70"/>
      <c r="AM98" s="21"/>
      <c r="AN98" s="21"/>
    </row>
    <row r="99" spans="1:77" ht="15.75" customHeight="1" x14ac:dyDescent="0.25">
      <c r="G99" s="294"/>
      <c r="H99" s="284" t="str">
        <f>H$9</f>
        <v>CYCLE</v>
      </c>
      <c r="I99" s="286" t="str">
        <f t="shared" ref="I99:N99" si="104">I$10</f>
        <v>MATTE PRODUCED</v>
      </c>
      <c r="J99" s="286" t="str">
        <f t="shared" si="104"/>
        <v>MATTE TREATED</v>
      </c>
      <c r="K99" s="286" t="str">
        <f t="shared" si="104"/>
        <v>MATTE SKULL PRODUCTION</v>
      </c>
      <c r="L99" s="286" t="str">
        <f t="shared" si="104"/>
        <v>BLISTER PRODUCED</v>
      </c>
      <c r="M99" s="286" t="str">
        <f t="shared" si="104"/>
        <v>BLISTER TREATED</v>
      </c>
      <c r="N99" s="286" t="str">
        <f t="shared" si="104"/>
        <v>BLISTER SKULL PRODUCTION</v>
      </c>
      <c r="O99" s="293" t="s">
        <v>6</v>
      </c>
      <c r="P99" s="293"/>
      <c r="Q99" s="293"/>
      <c r="R99" s="293"/>
      <c r="S99" s="293"/>
      <c r="T99" s="293"/>
      <c r="U99" s="293"/>
      <c r="V99" s="293"/>
      <c r="W99" s="293"/>
      <c r="X99" s="293"/>
      <c r="Y99" s="293"/>
      <c r="Z99" s="293"/>
      <c r="AA99" s="293"/>
      <c r="AB99" s="293"/>
      <c r="AC99" s="293"/>
      <c r="AD99" s="293"/>
      <c r="AE99" s="293"/>
      <c r="AF99" s="293"/>
      <c r="AG99" s="125"/>
    </row>
    <row r="100" spans="1:77" ht="13.5" customHeight="1" x14ac:dyDescent="0.25">
      <c r="A100" s="44"/>
      <c r="B100" s="8"/>
      <c r="C100" s="8"/>
      <c r="D100" s="8"/>
      <c r="E100" s="8"/>
      <c r="F100" s="8"/>
      <c r="G100" s="294"/>
      <c r="H100" s="285"/>
      <c r="I100" s="287"/>
      <c r="J100" s="287"/>
      <c r="K100" s="287"/>
      <c r="L100" s="287"/>
      <c r="M100" s="287"/>
      <c r="N100" s="287"/>
      <c r="O100" s="288" t="s">
        <v>24</v>
      </c>
      <c r="P100" s="289"/>
      <c r="Q100" s="290"/>
      <c r="R100" s="291" t="s">
        <v>9</v>
      </c>
      <c r="S100" s="126"/>
      <c r="T100" s="283" t="s">
        <v>25</v>
      </c>
      <c r="U100" s="283"/>
      <c r="V100" s="283"/>
      <c r="W100" s="283"/>
      <c r="X100" s="283"/>
      <c r="Y100" s="283"/>
      <c r="Z100" s="283"/>
      <c r="AA100" s="283"/>
      <c r="AB100" s="283"/>
      <c r="AC100" s="283"/>
      <c r="AD100" s="283"/>
      <c r="AE100" s="283"/>
      <c r="AF100" s="283"/>
      <c r="AG100" s="127"/>
      <c r="AH100" s="119"/>
      <c r="AI100" s="8"/>
      <c r="AJ100" s="8"/>
      <c r="AK100" s="8"/>
      <c r="AL100" s="71"/>
      <c r="AM100" s="22"/>
      <c r="AN100" s="22"/>
    </row>
    <row r="101" spans="1:77" ht="25.5" customHeight="1" x14ac:dyDescent="0.25">
      <c r="H101" s="285"/>
      <c r="I101" s="287"/>
      <c r="J101" s="287"/>
      <c r="K101" s="287"/>
      <c r="L101" s="287"/>
      <c r="M101" s="287"/>
      <c r="N101" s="287"/>
      <c r="O101" s="128" t="s">
        <v>7</v>
      </c>
      <c r="P101" s="128" t="s">
        <v>8</v>
      </c>
      <c r="Q101" s="128" t="s">
        <v>10</v>
      </c>
      <c r="R101" s="292"/>
      <c r="S101" s="129"/>
      <c r="T101" s="128" t="s">
        <v>11</v>
      </c>
      <c r="U101" s="128" t="s">
        <v>12</v>
      </c>
      <c r="V101" s="128" t="s">
        <v>13</v>
      </c>
      <c r="W101" s="128" t="s">
        <v>14</v>
      </c>
      <c r="X101" s="128" t="s">
        <v>15</v>
      </c>
      <c r="Y101" s="128" t="s">
        <v>16</v>
      </c>
      <c r="Z101" s="128" t="s">
        <v>17</v>
      </c>
      <c r="AA101" s="128" t="s">
        <v>18</v>
      </c>
      <c r="AB101" s="128" t="s">
        <v>19</v>
      </c>
      <c r="AC101" s="128" t="s">
        <v>20</v>
      </c>
      <c r="AD101" s="128" t="s">
        <v>21</v>
      </c>
      <c r="AE101" s="128" t="s">
        <v>22</v>
      </c>
      <c r="AF101" s="128" t="s">
        <v>23</v>
      </c>
      <c r="AG101" s="130"/>
      <c r="AJ101" s="100" t="s">
        <v>155</v>
      </c>
      <c r="AK101" s="100" t="s">
        <v>209</v>
      </c>
      <c r="AO101" s="21"/>
      <c r="AP101" s="7"/>
      <c r="AQ101" s="7"/>
      <c r="AR101" s="27"/>
      <c r="AT101" s="28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85"/>
    </row>
    <row r="102" spans="1:77" ht="28.5" customHeight="1" x14ac:dyDescent="0.25">
      <c r="A102" s="45"/>
      <c r="B102" s="9"/>
      <c r="C102" s="9"/>
      <c r="D102" s="9"/>
      <c r="E102" s="9"/>
      <c r="F102" s="9"/>
      <c r="G102" s="64">
        <f t="array" ref="G102:H103">_xll.PICompDat(Data!$H$98,Data!$G$4,Data!$G$5,9,"PI_SERVER","inside")</f>
        <v>41781.784722222219</v>
      </c>
      <c r="H102" s="65">
        <v>89</v>
      </c>
      <c r="I102" s="122">
        <f>IF(ISTEXT(_xll.PIArcVal(Data!I$98,Data!$G102,0,"PI_SERVER","exact time")),"",_xll.PIArcVal(Data!I$98,Data!$G102,0,"PI_SERVER","exact time"))</f>
        <v>176</v>
      </c>
      <c r="J102" s="122">
        <f>IF(ISTEXT(_xll.PIArcVal(Data!J$98,Data!$G102,0,"PI_SERVER","exact time")),"",_xll.PIArcVal(Data!J$98,Data!$G102,0,"PI_SERVER","exact time"))</f>
        <v>162</v>
      </c>
      <c r="K102" s="122">
        <f>IFERROR(I102-J102,"")</f>
        <v>14</v>
      </c>
      <c r="L102" s="122">
        <f>IF(ISTEXT(_xll.PIArcVal(Data!L$98,Data!$G102,0,"PI_SERVER","exact time")),"",_xll.PIArcVal(Data!L$98,Data!$G102,0,"PI_SERVER","exact time"))</f>
        <v>130</v>
      </c>
      <c r="M102" s="122">
        <f>IF(ISTEXT(_xll.PIArcVal(Data!M$98,Data!$G102,0,"PI_SERVER","exact time")),"",_xll.PIArcVal(Data!M$98,Data!$G102,0,"PI_SERVER","exact time"))</f>
        <v>126</v>
      </c>
      <c r="N102" s="122">
        <f>IFERROR(L102-M102,"")</f>
        <v>4</v>
      </c>
      <c r="O102" s="123">
        <f>IF(ISTEXT(_xll.PIArcVal(Data!O$98,Data!$G102,0,"PI_SERVER","exact time")),"",_xll.PIArcVal(Data!O$98,Data!$G102,0,"PI_SERVER","exact time"))</f>
        <v>25</v>
      </c>
      <c r="P102" s="123">
        <f>IF(ISTEXT(_xll.PIArcVal(Data!P$98,Data!$G102,0,"PI_SERVER","exact time")),"",_xll.PIArcVal(Data!P$98,Data!$G102,0,"PI_SERVER","exact time"))</f>
        <v>0</v>
      </c>
      <c r="Q102" s="123">
        <f>IF(ISTEXT(_xll.PIArcVal(Data!Q$98,Data!$G102,0,"PI_SERVER","exact time")),"",_xll.PIArcVal(Data!Q$98,Data!$G102,0,"PI_SERVER","exact time"))</f>
        <v>0</v>
      </c>
      <c r="R102" s="123">
        <f>IF(ISTEXT(_xll.PIArcVal(Data!R$98,Data!$G102,0,"PI_SERVER","exact time")),"",_xll.PIArcVal(Data!R$98,Data!$G102,0,"PI_SERVER","exact time"))</f>
        <v>0</v>
      </c>
      <c r="S102" s="123"/>
      <c r="T102" s="123">
        <f>IF(ISTEXT(_xll.PIArcVal(Data!T$98,Data!$G102,0,"PI_SERVER","exact time")),"",_xll.PIArcVal(Data!T$98,Data!$G102,0,"PI_SERVER","exact time"))</f>
        <v>0</v>
      </c>
      <c r="U102" s="123">
        <f>IF(ISTEXT(_xll.PIArcVal(Data!U$98,Data!$G102,0,"PI_SERVER","exact time")),"",_xll.PIArcVal(Data!U$98,Data!$G102,0,"PI_SERVER","exact time"))</f>
        <v>31</v>
      </c>
      <c r="V102" s="123">
        <f>IF(ISTEXT(_xll.PIArcVal(Data!V$98,Data!$G102,0,"PI_SERVER","exact time")),"",_xll.PIArcVal(Data!V$98,Data!$G102,0,"PI_SERVER","exact time"))</f>
        <v>0</v>
      </c>
      <c r="W102" s="123">
        <f>IF(ISTEXT(_xll.PIArcVal(Data!W$98,Data!$G102,0,"PI_SERVER","exact time")),"",_xll.PIArcVal(Data!W$98,Data!$G102,0,"PI_SERVER","exact time"))</f>
        <v>0</v>
      </c>
      <c r="X102" s="123">
        <f>IF(ISTEXT(_xll.PIArcVal(Data!X$98,Data!$G102,0,"PI_SERVER","exact time")),"",_xll.PIArcVal(Data!X$98,Data!$G102,0,"PI_SERVER","exact time"))</f>
        <v>0</v>
      </c>
      <c r="Y102" s="123">
        <f>IF(ISTEXT(_xll.PIArcVal(Data!Y$98,Data!$G102,0,"PI_SERVER","exact time")),"",_xll.PIArcVal(Data!Y$98,Data!$G102,0,"PI_SERVER","exact time"))</f>
        <v>11</v>
      </c>
      <c r="Z102" s="123">
        <f>IF(ISTEXT(_xll.PIArcVal(Data!Z$98,Data!$G102,0,"PI_SERVER","exact time")),"",_xll.PIArcVal(Data!Z$98,Data!$G102,0,"PI_SERVER","exact time"))</f>
        <v>6</v>
      </c>
      <c r="AA102" s="123">
        <f>IF(ISTEXT(_xll.PIArcVal(Data!AA$98,Data!$G102,0,"PI_SERVER","exact time")),"",_xll.PIArcVal(Data!AA$98,Data!$G102,0,"PI_SERVER","exact time"))</f>
        <v>9</v>
      </c>
      <c r="AB102" s="123">
        <f>IF(ISTEXT(_xll.PIArcVal(Data!AB$98,Data!$G102,0,"PI_SERVER","exact time")),"",_xll.PIArcVal(Data!AB$98,Data!$G102,0,"PI_SERVER","exact time"))</f>
        <v>3</v>
      </c>
      <c r="AC102" s="123" t="str">
        <f>IF(ISTEXT(_xll.PIArcVal(Data!AC$98,Data!$G102,0,"PI_SERVER","exact time")),"",_xll.PIArcVal(Data!AC$98,Data!$G102,0,"PI_SERVER","exact time"))</f>
        <v/>
      </c>
      <c r="AD102" s="123">
        <f>IF(ISTEXT(_xll.PIArcVal(Data!AD$98,Data!$G102,0,"PI_SERVER","exact time")),"",_xll.PIArcVal(Data!AD$98,Data!$G102,0,"PI_SERVER","exact time"))</f>
        <v>0</v>
      </c>
      <c r="AE102" s="123">
        <f>IF(ISTEXT(_xll.PIArcVal(Data!AE$98,Data!$G102,0,"PI_SERVER","exact time")),"",_xll.PIArcVal(Data!AE$98,Data!$G102,0,"PI_SERVER","exact time"))</f>
        <v>0</v>
      </c>
      <c r="AF102" s="123">
        <f>IF(ISTEXT(_xll.PIArcVal(Data!AF$98,Data!$G102,0,"PI_SERVER","exact time")),"",_xll.PIArcVal(Data!AF$98,Data!$G102,0,"PI_SERVER","exact time"))</f>
        <v>0</v>
      </c>
      <c r="AG102" s="123">
        <f>IF(ISTEXT(_xll.PIArcVal(Data!AG$98,Data!$G102,0,"PI_SERVER","exact time")),"",_xll.PIArcVal(Data!AG$98,Data!$G102,0,"PI_SERVER","exact time"))</f>
        <v>0</v>
      </c>
      <c r="AH102" s="124">
        <f t="shared" ref="AH102:AH111" si="105">IF(AL102=1,SUM(T102:AF102),"")</f>
        <v>60</v>
      </c>
      <c r="AI102" s="66">
        <f>IF(ISTEXT(_xll.PIArcVal(Data!AI$98,Data!$G102,0,"PI_SERVER","exact time")),"",_xll.PIArcVal(Data!AI$98,Data!$G102,0,"PI_SERVER","exact time"))</f>
        <v>61.799999237060547</v>
      </c>
      <c r="AJ102" s="66">
        <f>IF(ISTEXT(_xll.PIArcVal(Data!AJ$98,Data!$G102,0,"PI_SERVER","exact time")),"",_xll.PIArcVal(Data!AJ$98,Data!$G102,0,"PI_SERVER","exact time"))</f>
        <v>21.200000762939453</v>
      </c>
      <c r="AK102" s="66">
        <f>IF(ISTEXT(_xll.PIArcVal(Data!AK$98,Data!$G102,0,"PI_SERVER","exact time")),"",_xll.PIArcVal(Data!AK$98,Data!$G102,0,"PI_SERVER","exact time"))</f>
        <v>0.89023351669311523</v>
      </c>
      <c r="AL102" s="69">
        <f>IF(OR(G102=" ",G102="",ISTEXT(G102)), 0,1)</f>
        <v>1</v>
      </c>
      <c r="AM102" s="18"/>
      <c r="AN102" s="18"/>
    </row>
    <row r="103" spans="1:77" ht="28.5" customHeight="1" x14ac:dyDescent="0.25">
      <c r="A103" s="45"/>
      <c r="B103" s="9"/>
      <c r="C103" s="9"/>
      <c r="D103" s="9"/>
      <c r="E103" s="9"/>
      <c r="F103" s="9"/>
      <c r="G103" s="64" t="str">
        <v xml:space="preserve"> </v>
      </c>
      <c r="H103" s="65" t="str">
        <v xml:space="preserve"> </v>
      </c>
      <c r="I103" s="122" t="str">
        <f>IF(ISTEXT(_xll.PIArcVal(Data!I$98,Data!$G103,0,"PI_SERVER","exact time")),"",_xll.PIArcVal(Data!I$98,Data!$G103,0,"PI_SERVER","exact time"))</f>
        <v/>
      </c>
      <c r="J103" s="122" t="str">
        <f>IF(ISTEXT(_xll.PIArcVal(Data!J$98,Data!$G103,0,"PI_SERVER","exact time")),"",_xll.PIArcVal(Data!J$98,Data!$G103,0,"PI_SERVER","exact time"))</f>
        <v/>
      </c>
      <c r="K103" s="122" t="str">
        <f t="shared" ref="K103:K111" si="106">IFERROR(I103-J103,"")</f>
        <v/>
      </c>
      <c r="L103" s="122" t="str">
        <f>IF(ISTEXT(_xll.PIArcVal(Data!L$98,Data!$G103,0,"PI_SERVER","exact time")),"",_xll.PIArcVal(Data!L$98,Data!$G103,0,"PI_SERVER","exact time"))</f>
        <v/>
      </c>
      <c r="M103" s="122" t="str">
        <f>IF(ISTEXT(_xll.PIArcVal(Data!M$98,Data!$G103,0,"PI_SERVER","exact time")),"",_xll.PIArcVal(Data!M$98,Data!$G103,0,"PI_SERVER","exact time"))</f>
        <v/>
      </c>
      <c r="N103" s="122" t="str">
        <f t="shared" ref="N103:N111" si="107">IFERROR(L103-M103,"")</f>
        <v/>
      </c>
      <c r="O103" s="123" t="str">
        <f>IF(ISTEXT(_xll.PIArcVal(Data!O$98,Data!$G103,0,"PI_SERVER","exact time")),"",_xll.PIArcVal(Data!O$98,Data!$G103,0,"PI_SERVER","exact time"))</f>
        <v/>
      </c>
      <c r="P103" s="123" t="str">
        <f>IF(ISTEXT(_xll.PIArcVal(Data!P$98,Data!$G103,0,"PI_SERVER","exact time")),"",_xll.PIArcVal(Data!P$98,Data!$G103,0,"PI_SERVER","exact time"))</f>
        <v/>
      </c>
      <c r="Q103" s="123" t="str">
        <f>IF(ISTEXT(_xll.PIArcVal(Data!Q$98,Data!$G103,0,"PI_SERVER","exact time")),"",_xll.PIArcVal(Data!Q$98,Data!$G103,0,"PI_SERVER","exact time"))</f>
        <v/>
      </c>
      <c r="R103" s="123" t="str">
        <f>IF(ISTEXT(_xll.PIArcVal(Data!R$98,Data!$G103,0,"PI_SERVER","exact time")),"",_xll.PIArcVal(Data!R$98,Data!$G103,0,"PI_SERVER","exact time"))</f>
        <v/>
      </c>
      <c r="S103" s="123"/>
      <c r="T103" s="123" t="str">
        <f>IF(ISTEXT(_xll.PIArcVal(Data!T$98,Data!$G103,0,"PI_SERVER","exact time")),"",_xll.PIArcVal(Data!T$98,Data!$G103,0,"PI_SERVER","exact time"))</f>
        <v/>
      </c>
      <c r="U103" s="123" t="str">
        <f>IF(ISTEXT(_xll.PIArcVal(Data!U$98,Data!$G103,0,"PI_SERVER","exact time")),"",_xll.PIArcVal(Data!U$98,Data!$G103,0,"PI_SERVER","exact time"))</f>
        <v/>
      </c>
      <c r="V103" s="123" t="str">
        <f>IF(ISTEXT(_xll.PIArcVal(Data!V$98,Data!$G103,0,"PI_SERVER","exact time")),"",_xll.PIArcVal(Data!V$98,Data!$G103,0,"PI_SERVER","exact time"))</f>
        <v/>
      </c>
      <c r="W103" s="123" t="str">
        <f>IF(ISTEXT(_xll.PIArcVal(Data!W$98,Data!$G103,0,"PI_SERVER","exact time")),"",_xll.PIArcVal(Data!W$98,Data!$G103,0,"PI_SERVER","exact time"))</f>
        <v/>
      </c>
      <c r="X103" s="123" t="str">
        <f>IF(ISTEXT(_xll.PIArcVal(Data!X$98,Data!$G103,0,"PI_SERVER","exact time")),"",_xll.PIArcVal(Data!X$98,Data!$G103,0,"PI_SERVER","exact time"))</f>
        <v/>
      </c>
      <c r="Y103" s="123" t="str">
        <f>IF(ISTEXT(_xll.PIArcVal(Data!Y$98,Data!$G103,0,"PI_SERVER","exact time")),"",_xll.PIArcVal(Data!Y$98,Data!$G103,0,"PI_SERVER","exact time"))</f>
        <v/>
      </c>
      <c r="Z103" s="123" t="str">
        <f>IF(ISTEXT(_xll.PIArcVal(Data!Z$98,Data!$G103,0,"PI_SERVER","exact time")),"",_xll.PIArcVal(Data!Z$98,Data!$G103,0,"PI_SERVER","exact time"))</f>
        <v/>
      </c>
      <c r="AA103" s="123" t="str">
        <f>IF(ISTEXT(_xll.PIArcVal(Data!AA$98,Data!$G103,0,"PI_SERVER","exact time")),"",_xll.PIArcVal(Data!AA$98,Data!$G103,0,"PI_SERVER","exact time"))</f>
        <v/>
      </c>
      <c r="AB103" s="123" t="str">
        <f>IF(ISTEXT(_xll.PIArcVal(Data!AB$98,Data!$G103,0,"PI_SERVER","exact time")),"",_xll.PIArcVal(Data!AB$98,Data!$G103,0,"PI_SERVER","exact time"))</f>
        <v/>
      </c>
      <c r="AC103" s="123" t="str">
        <f>IF(ISTEXT(_xll.PIArcVal(Data!AC$98,Data!$G103,0,"PI_SERVER","exact time")),"",_xll.PIArcVal(Data!AC$98,Data!$G103,0,"PI_SERVER","exact time"))</f>
        <v/>
      </c>
      <c r="AD103" s="123" t="str">
        <f>IF(ISTEXT(_xll.PIArcVal(Data!AD$98,Data!$G103,0,"PI_SERVER","exact time")),"",_xll.PIArcVal(Data!AD$98,Data!$G103,0,"PI_SERVER","exact time"))</f>
        <v/>
      </c>
      <c r="AE103" s="123" t="str">
        <f>IF(ISTEXT(_xll.PIArcVal(Data!AE$98,Data!$G103,0,"PI_SERVER","exact time")),"",_xll.PIArcVal(Data!AE$98,Data!$G103,0,"PI_SERVER","exact time"))</f>
        <v/>
      </c>
      <c r="AF103" s="123" t="str">
        <f>IF(ISTEXT(_xll.PIArcVal(Data!AF$98,Data!$G103,0,"PI_SERVER","exact time")),"",_xll.PIArcVal(Data!AF$98,Data!$G103,0,"PI_SERVER","exact time"))</f>
        <v/>
      </c>
      <c r="AG103" s="123" t="str">
        <f>IF(ISTEXT(_xll.PIArcVal(Data!AG$98,Data!$G103,0,"PI_SERVER","exact time")),"",_xll.PIArcVal(Data!AG$98,Data!$G103,0,"PI_SERVER","exact time"))</f>
        <v/>
      </c>
      <c r="AH103" s="124" t="str">
        <f t="shared" si="105"/>
        <v/>
      </c>
      <c r="AI103" s="66" t="str">
        <f>IF(ISTEXT(_xll.PIArcVal(Data!AI$98,Data!$G103,0,"PI_SERVER","exact time")),"",_xll.PIArcVal(Data!AI$98,Data!$G103,0,"PI_SERVER","exact time"))</f>
        <v/>
      </c>
      <c r="AJ103" s="66" t="str">
        <f>IF(ISTEXT(_xll.PIArcVal(Data!AJ$98,Data!$G103,0,"PI_SERVER","exact time")),"",_xll.PIArcVal(Data!AJ$98,Data!$G103,0,"PI_SERVER","exact time"))</f>
        <v/>
      </c>
      <c r="AK103" s="66" t="str">
        <f>IF(ISTEXT(_xll.PIArcVal(Data!AK$98,Data!$G103,0,"PI_SERVER","exact time")),"",_xll.PIArcVal(Data!AK$98,Data!$G103,0,"PI_SERVER","exact time"))</f>
        <v/>
      </c>
      <c r="AL103" s="69">
        <f t="shared" ref="AL103:AL111" si="108">IF(OR(G103=" ",G103="",ISTEXT(G103)), 0,1)</f>
        <v>0</v>
      </c>
      <c r="AM103" s="18"/>
      <c r="AN103" s="18"/>
      <c r="AO103" s="22"/>
      <c r="AP103" s="8"/>
      <c r="AQ103" s="8"/>
      <c r="AR103" s="9"/>
      <c r="AT103" s="29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4"/>
    </row>
    <row r="104" spans="1:77" ht="28.5" customHeight="1" x14ac:dyDescent="0.25">
      <c r="A104" s="45"/>
      <c r="B104" s="9"/>
      <c r="C104" s="9"/>
      <c r="D104" s="9"/>
      <c r="E104" s="9"/>
      <c r="F104" s="9"/>
      <c r="G104" s="64"/>
      <c r="H104" s="65"/>
      <c r="I104" s="122" t="str">
        <f>IF(ISTEXT(_xll.PIArcVal(Data!I$98,Data!$G104,0,"PI_SERVER","exact time")),"",_xll.PIArcVal(Data!I$98,Data!$G104,0,"PI_SERVER","exact time"))</f>
        <v/>
      </c>
      <c r="J104" s="122" t="str">
        <f>IF(ISTEXT(_xll.PIArcVal(Data!J$98,Data!$G104,0,"PI_SERVER","exact time")),"",_xll.PIArcVal(Data!J$98,Data!$G104,0,"PI_SERVER","exact time"))</f>
        <v/>
      </c>
      <c r="K104" s="122" t="str">
        <f t="shared" si="106"/>
        <v/>
      </c>
      <c r="L104" s="122" t="str">
        <f>IF(ISTEXT(_xll.PIArcVal(Data!L$98,Data!$G104,0,"PI_SERVER","exact time")),"",_xll.PIArcVal(Data!L$98,Data!$G104,0,"PI_SERVER","exact time"))</f>
        <v/>
      </c>
      <c r="M104" s="122" t="str">
        <f>IF(ISTEXT(_xll.PIArcVal(Data!M$98,Data!$G104,0,"PI_SERVER","exact time")),"",_xll.PIArcVal(Data!M$98,Data!$G104,0,"PI_SERVER","exact time"))</f>
        <v/>
      </c>
      <c r="N104" s="122" t="str">
        <f t="shared" si="107"/>
        <v/>
      </c>
      <c r="O104" s="123" t="str">
        <f>IF(ISTEXT(_xll.PIArcVal(Data!O$98,Data!$G104,0,"PI_SERVER","exact time")),"",_xll.PIArcVal(Data!O$98,Data!$G104,0,"PI_SERVER","exact time"))</f>
        <v/>
      </c>
      <c r="P104" s="123" t="str">
        <f>IF(ISTEXT(_xll.PIArcVal(Data!P$98,Data!$G104,0,"PI_SERVER","exact time")),"",_xll.PIArcVal(Data!P$98,Data!$G104,0,"PI_SERVER","exact time"))</f>
        <v/>
      </c>
      <c r="Q104" s="123" t="str">
        <f>IF(ISTEXT(_xll.PIArcVal(Data!Q$98,Data!$G104,0,"PI_SERVER","exact time")),"",_xll.PIArcVal(Data!Q$98,Data!$G104,0,"PI_SERVER","exact time"))</f>
        <v/>
      </c>
      <c r="R104" s="123" t="str">
        <f>IF(ISTEXT(_xll.PIArcVal(Data!R$98,Data!$G104,0,"PI_SERVER","exact time")),"",_xll.PIArcVal(Data!R$98,Data!$G104,0,"PI_SERVER","exact time"))</f>
        <v/>
      </c>
      <c r="S104" s="123"/>
      <c r="T104" s="123" t="str">
        <f>IF(ISTEXT(_xll.PIArcVal(Data!T$98,Data!$G104,0,"PI_SERVER","exact time")),"",_xll.PIArcVal(Data!T$98,Data!$G104,0,"PI_SERVER","exact time"))</f>
        <v/>
      </c>
      <c r="U104" s="123" t="str">
        <f>IF(ISTEXT(_xll.PIArcVal(Data!U$98,Data!$G104,0,"PI_SERVER","exact time")),"",_xll.PIArcVal(Data!U$98,Data!$G104,0,"PI_SERVER","exact time"))</f>
        <v/>
      </c>
      <c r="V104" s="123" t="str">
        <f>IF(ISTEXT(_xll.PIArcVal(Data!V$98,Data!$G104,0,"PI_SERVER","exact time")),"",_xll.PIArcVal(Data!V$98,Data!$G104,0,"PI_SERVER","exact time"))</f>
        <v/>
      </c>
      <c r="W104" s="123" t="str">
        <f>IF(ISTEXT(_xll.PIArcVal(Data!W$98,Data!$G104,0,"PI_SERVER","exact time")),"",_xll.PIArcVal(Data!W$98,Data!$G104,0,"PI_SERVER","exact time"))</f>
        <v/>
      </c>
      <c r="X104" s="123" t="str">
        <f>IF(ISTEXT(_xll.PIArcVal(Data!X$98,Data!$G104,0,"PI_SERVER","exact time")),"",_xll.PIArcVal(Data!X$98,Data!$G104,0,"PI_SERVER","exact time"))</f>
        <v/>
      </c>
      <c r="Y104" s="123" t="str">
        <f>IF(ISTEXT(_xll.PIArcVal(Data!Y$98,Data!$G104,0,"PI_SERVER","exact time")),"",_xll.PIArcVal(Data!Y$98,Data!$G104,0,"PI_SERVER","exact time"))</f>
        <v/>
      </c>
      <c r="Z104" s="123" t="str">
        <f>IF(ISTEXT(_xll.PIArcVal(Data!Z$98,Data!$G104,0,"PI_SERVER","exact time")),"",_xll.PIArcVal(Data!Z$98,Data!$G104,0,"PI_SERVER","exact time"))</f>
        <v/>
      </c>
      <c r="AA104" s="123" t="str">
        <f>IF(ISTEXT(_xll.PIArcVal(Data!AA$98,Data!$G104,0,"PI_SERVER","exact time")),"",_xll.PIArcVal(Data!AA$98,Data!$G104,0,"PI_SERVER","exact time"))</f>
        <v/>
      </c>
      <c r="AB104" s="123" t="str">
        <f>IF(ISTEXT(_xll.PIArcVal(Data!AB$98,Data!$G104,0,"PI_SERVER","exact time")),"",_xll.PIArcVal(Data!AB$98,Data!$G104,0,"PI_SERVER","exact time"))</f>
        <v/>
      </c>
      <c r="AC104" s="123" t="str">
        <f>IF(ISTEXT(_xll.PIArcVal(Data!AC$98,Data!$G104,0,"PI_SERVER","exact time")),"",_xll.PIArcVal(Data!AC$98,Data!$G104,0,"PI_SERVER","exact time"))</f>
        <v/>
      </c>
      <c r="AD104" s="123" t="str">
        <f>IF(ISTEXT(_xll.PIArcVal(Data!AD$98,Data!$G104,0,"PI_SERVER","exact time")),"",_xll.PIArcVal(Data!AD$98,Data!$G104,0,"PI_SERVER","exact time"))</f>
        <v/>
      </c>
      <c r="AE104" s="123" t="str">
        <f>IF(ISTEXT(_xll.PIArcVal(Data!AE$98,Data!$G104,0,"PI_SERVER","exact time")),"",_xll.PIArcVal(Data!AE$98,Data!$G104,0,"PI_SERVER","exact time"))</f>
        <v/>
      </c>
      <c r="AF104" s="123" t="str">
        <f>IF(ISTEXT(_xll.PIArcVal(Data!AF$98,Data!$G104,0,"PI_SERVER","exact time")),"",_xll.PIArcVal(Data!AF$98,Data!$G104,0,"PI_SERVER","exact time"))</f>
        <v/>
      </c>
      <c r="AG104" s="123" t="str">
        <f>IF(ISTEXT(_xll.PIArcVal(Data!AG$98,Data!$G104,0,"PI_SERVER","exact time")),"",_xll.PIArcVal(Data!AG$98,Data!$G104,0,"PI_SERVER","exact time"))</f>
        <v/>
      </c>
      <c r="AH104" s="124" t="str">
        <f t="shared" si="105"/>
        <v/>
      </c>
      <c r="AI104" s="66" t="str">
        <f>IF(ISTEXT(_xll.PIArcVal(Data!AI$98,Data!$G104,0,"PI_SERVER","exact time")),"",_xll.PIArcVal(Data!AI$98,Data!$G104,0,"PI_SERVER","exact time"))</f>
        <v/>
      </c>
      <c r="AJ104" s="66" t="str">
        <f>IF(ISTEXT(_xll.PIArcVal(Data!AJ$98,Data!$G104,0,"PI_SERVER","exact time")),"",_xll.PIArcVal(Data!AJ$98,Data!$G104,0,"PI_SERVER","exact time"))</f>
        <v/>
      </c>
      <c r="AK104" s="66" t="str">
        <f>IF(ISTEXT(_xll.PIArcVal(Data!AK$98,Data!$G104,0,"PI_SERVER","exact time")),"",_xll.PIArcVal(Data!AK$98,Data!$G104,0,"PI_SERVER","exact time"))</f>
        <v/>
      </c>
      <c r="AL104" s="69">
        <f t="shared" si="108"/>
        <v>0</v>
      </c>
      <c r="AM104" s="18"/>
      <c r="AN104" s="18"/>
    </row>
    <row r="105" spans="1:77" ht="28.5" customHeight="1" x14ac:dyDescent="0.25">
      <c r="A105" s="45"/>
      <c r="B105" s="9"/>
      <c r="C105" s="9"/>
      <c r="D105" s="9"/>
      <c r="E105" s="9"/>
      <c r="F105" s="9"/>
      <c r="G105" s="64"/>
      <c r="H105" s="65"/>
      <c r="I105" s="122" t="str">
        <f>IF(ISTEXT(_xll.PIArcVal(Data!I$98,Data!$G105,0,"PI_SERVER","exact time")),"",_xll.PIArcVal(Data!I$98,Data!$G105,0,"PI_SERVER","exact time"))</f>
        <v/>
      </c>
      <c r="J105" s="122" t="str">
        <f>IF(ISTEXT(_xll.PIArcVal(Data!J$98,Data!$G105,0,"PI_SERVER","exact time")),"",_xll.PIArcVal(Data!J$98,Data!$G105,0,"PI_SERVER","exact time"))</f>
        <v/>
      </c>
      <c r="K105" s="122" t="str">
        <f t="shared" si="106"/>
        <v/>
      </c>
      <c r="L105" s="122" t="str">
        <f>IF(ISTEXT(_xll.PIArcVal(Data!L$98,Data!$G105,0,"PI_SERVER","exact time")),"",_xll.PIArcVal(Data!L$98,Data!$G105,0,"PI_SERVER","exact time"))</f>
        <v/>
      </c>
      <c r="M105" s="122" t="str">
        <f>IF(ISTEXT(_xll.PIArcVal(Data!M$98,Data!$G105,0,"PI_SERVER","exact time")),"",_xll.PIArcVal(Data!M$98,Data!$G105,0,"PI_SERVER","exact time"))</f>
        <v/>
      </c>
      <c r="N105" s="122" t="str">
        <f t="shared" si="107"/>
        <v/>
      </c>
      <c r="O105" s="123" t="str">
        <f>IF(ISTEXT(_xll.PIArcVal(Data!O$98,Data!$G105,0,"PI_SERVER","exact time")),"",_xll.PIArcVal(Data!O$98,Data!$G105,0,"PI_SERVER","exact time"))</f>
        <v/>
      </c>
      <c r="P105" s="123" t="str">
        <f>IF(ISTEXT(_xll.PIArcVal(Data!P$98,Data!$G105,0,"PI_SERVER","exact time")),"",_xll.PIArcVal(Data!P$98,Data!$G105,0,"PI_SERVER","exact time"))</f>
        <v/>
      </c>
      <c r="Q105" s="123" t="str">
        <f>IF(ISTEXT(_xll.PIArcVal(Data!Q$98,Data!$G105,0,"PI_SERVER","exact time")),"",_xll.PIArcVal(Data!Q$98,Data!$G105,0,"PI_SERVER","exact time"))</f>
        <v/>
      </c>
      <c r="R105" s="123" t="str">
        <f>IF(ISTEXT(_xll.PIArcVal(Data!R$98,Data!$G105,0,"PI_SERVER","exact time")),"",_xll.PIArcVal(Data!R$98,Data!$G105,0,"PI_SERVER","exact time"))</f>
        <v/>
      </c>
      <c r="S105" s="123"/>
      <c r="T105" s="123" t="str">
        <f>IF(ISTEXT(_xll.PIArcVal(Data!T$98,Data!$G105,0,"PI_SERVER","exact time")),"",_xll.PIArcVal(Data!T$98,Data!$G105,0,"PI_SERVER","exact time"))</f>
        <v/>
      </c>
      <c r="U105" s="123" t="str">
        <f>IF(ISTEXT(_xll.PIArcVal(Data!U$98,Data!$G105,0,"PI_SERVER","exact time")),"",_xll.PIArcVal(Data!U$98,Data!$G105,0,"PI_SERVER","exact time"))</f>
        <v/>
      </c>
      <c r="V105" s="123" t="str">
        <f>IF(ISTEXT(_xll.PIArcVal(Data!V$98,Data!$G105,0,"PI_SERVER","exact time")),"",_xll.PIArcVal(Data!V$98,Data!$G105,0,"PI_SERVER","exact time"))</f>
        <v/>
      </c>
      <c r="W105" s="123" t="str">
        <f>IF(ISTEXT(_xll.PIArcVal(Data!W$98,Data!$G105,0,"PI_SERVER","exact time")),"",_xll.PIArcVal(Data!W$98,Data!$G105,0,"PI_SERVER","exact time"))</f>
        <v/>
      </c>
      <c r="X105" s="123" t="str">
        <f>IF(ISTEXT(_xll.PIArcVal(Data!X$98,Data!$G105,0,"PI_SERVER","exact time")),"",_xll.PIArcVal(Data!X$98,Data!$G105,0,"PI_SERVER","exact time"))</f>
        <v/>
      </c>
      <c r="Y105" s="123" t="str">
        <f>IF(ISTEXT(_xll.PIArcVal(Data!Y$98,Data!$G105,0,"PI_SERVER","exact time")),"",_xll.PIArcVal(Data!Y$98,Data!$G105,0,"PI_SERVER","exact time"))</f>
        <v/>
      </c>
      <c r="Z105" s="123" t="str">
        <f>IF(ISTEXT(_xll.PIArcVal(Data!Z$98,Data!$G105,0,"PI_SERVER","exact time")),"",_xll.PIArcVal(Data!Z$98,Data!$G105,0,"PI_SERVER","exact time"))</f>
        <v/>
      </c>
      <c r="AA105" s="123" t="str">
        <f>IF(ISTEXT(_xll.PIArcVal(Data!AA$98,Data!$G105,0,"PI_SERVER","exact time")),"",_xll.PIArcVal(Data!AA$98,Data!$G105,0,"PI_SERVER","exact time"))</f>
        <v/>
      </c>
      <c r="AB105" s="123" t="str">
        <f>IF(ISTEXT(_xll.PIArcVal(Data!AB$98,Data!$G105,0,"PI_SERVER","exact time")),"",_xll.PIArcVal(Data!AB$98,Data!$G105,0,"PI_SERVER","exact time"))</f>
        <v/>
      </c>
      <c r="AC105" s="123" t="str">
        <f>IF(ISTEXT(_xll.PIArcVal(Data!AC$98,Data!$G105,0,"PI_SERVER","exact time")),"",_xll.PIArcVal(Data!AC$98,Data!$G105,0,"PI_SERVER","exact time"))</f>
        <v/>
      </c>
      <c r="AD105" s="123" t="str">
        <f>IF(ISTEXT(_xll.PIArcVal(Data!AD$98,Data!$G105,0,"PI_SERVER","exact time")),"",_xll.PIArcVal(Data!AD$98,Data!$G105,0,"PI_SERVER","exact time"))</f>
        <v/>
      </c>
      <c r="AE105" s="123" t="str">
        <f>IF(ISTEXT(_xll.PIArcVal(Data!AE$98,Data!$G105,0,"PI_SERVER","exact time")),"",_xll.PIArcVal(Data!AE$98,Data!$G105,0,"PI_SERVER","exact time"))</f>
        <v/>
      </c>
      <c r="AF105" s="123" t="str">
        <f>IF(ISTEXT(_xll.PIArcVal(Data!AF$98,Data!$G105,0,"PI_SERVER","exact time")),"",_xll.PIArcVal(Data!AF$98,Data!$G105,0,"PI_SERVER","exact time"))</f>
        <v/>
      </c>
      <c r="AG105" s="123" t="str">
        <f>IF(ISTEXT(_xll.PIArcVal(Data!AG$98,Data!$G105,0,"PI_SERVER","exact time")),"",_xll.PIArcVal(Data!AG$98,Data!$G105,0,"PI_SERVER","exact time"))</f>
        <v/>
      </c>
      <c r="AH105" s="124" t="str">
        <f t="shared" si="105"/>
        <v/>
      </c>
      <c r="AI105" s="66" t="str">
        <f>IF(ISTEXT(_xll.PIArcVal(Data!AI$98,Data!$G105,0,"PI_SERVER","exact time")),"",_xll.PIArcVal(Data!AI$98,Data!$G105,0,"PI_SERVER","exact time"))</f>
        <v/>
      </c>
      <c r="AJ105" s="66" t="str">
        <f>IF(ISTEXT(_xll.PIArcVal(Data!AJ$98,Data!$G105,0,"PI_SERVER","exact time")),"",_xll.PIArcVal(Data!AJ$98,Data!$G105,0,"PI_SERVER","exact time"))</f>
        <v/>
      </c>
      <c r="AK105" s="66" t="str">
        <f>IF(ISTEXT(_xll.PIArcVal(Data!AK$98,Data!$G105,0,"PI_SERVER","exact time")),"",_xll.PIArcVal(Data!AK$98,Data!$G105,0,"PI_SERVER","exact time"))</f>
        <v/>
      </c>
      <c r="AL105" s="69">
        <f t="shared" si="108"/>
        <v>0</v>
      </c>
      <c r="AM105" s="18"/>
      <c r="AN105" s="18"/>
      <c r="AO105" s="18"/>
      <c r="AP105" s="9"/>
      <c r="AQ105" s="13"/>
      <c r="AR105" s="9"/>
      <c r="AS105" s="27"/>
      <c r="AT105" s="29"/>
      <c r="AU105" s="7"/>
      <c r="AV105" s="7"/>
      <c r="AW105" s="7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86"/>
    </row>
    <row r="106" spans="1:77" ht="28.5" customHeight="1" x14ac:dyDescent="0.25">
      <c r="A106" s="45"/>
      <c r="B106" s="9"/>
      <c r="C106" s="9"/>
      <c r="D106" s="9"/>
      <c r="E106" s="9"/>
      <c r="F106" s="9"/>
      <c r="G106" s="64"/>
      <c r="H106" s="65"/>
      <c r="I106" s="122" t="str">
        <f>IF(ISTEXT(_xll.PIArcVal(Data!I$98,Data!$G106,0,"PI_SERVER","exact time")),"",_xll.PIArcVal(Data!I$98,Data!$G106,0,"PI_SERVER","exact time"))</f>
        <v/>
      </c>
      <c r="J106" s="122" t="str">
        <f>IF(ISTEXT(_xll.PIArcVal(Data!J$98,Data!$G106,0,"PI_SERVER","exact time")),"",_xll.PIArcVal(Data!J$98,Data!$G106,0,"PI_SERVER","exact time"))</f>
        <v/>
      </c>
      <c r="K106" s="122" t="str">
        <f t="shared" si="106"/>
        <v/>
      </c>
      <c r="L106" s="122" t="str">
        <f>IF(ISTEXT(_xll.PIArcVal(Data!L$98,Data!$G106,0,"PI_SERVER","exact time")),"",_xll.PIArcVal(Data!L$98,Data!$G106,0,"PI_SERVER","exact time"))</f>
        <v/>
      </c>
      <c r="M106" s="122" t="str">
        <f>IF(ISTEXT(_xll.PIArcVal(Data!M$98,Data!$G106,0,"PI_SERVER","exact time")),"",_xll.PIArcVal(Data!M$98,Data!$G106,0,"PI_SERVER","exact time"))</f>
        <v/>
      </c>
      <c r="N106" s="122" t="str">
        <f t="shared" si="107"/>
        <v/>
      </c>
      <c r="O106" s="123" t="str">
        <f>IF(ISTEXT(_xll.PIArcVal(Data!O$98,Data!$G106,0,"PI_SERVER","exact time")),"",_xll.PIArcVal(Data!O$98,Data!$G106,0,"PI_SERVER","exact time"))</f>
        <v/>
      </c>
      <c r="P106" s="123" t="str">
        <f>IF(ISTEXT(_xll.PIArcVal(Data!P$98,Data!$G106,0,"PI_SERVER","exact time")),"",_xll.PIArcVal(Data!P$98,Data!$G106,0,"PI_SERVER","exact time"))</f>
        <v/>
      </c>
      <c r="Q106" s="123" t="str">
        <f>IF(ISTEXT(_xll.PIArcVal(Data!Q$98,Data!$G106,0,"PI_SERVER","exact time")),"",_xll.PIArcVal(Data!Q$98,Data!$G106,0,"PI_SERVER","exact time"))</f>
        <v/>
      </c>
      <c r="R106" s="123" t="str">
        <f>IF(ISTEXT(_xll.PIArcVal(Data!R$98,Data!$G106,0,"PI_SERVER","exact time")),"",_xll.PIArcVal(Data!R$98,Data!$G106,0,"PI_SERVER","exact time"))</f>
        <v/>
      </c>
      <c r="S106" s="123"/>
      <c r="T106" s="123" t="str">
        <f>IF(ISTEXT(_xll.PIArcVal(Data!T$98,Data!$G106,0,"PI_SERVER","exact time")),"",_xll.PIArcVal(Data!T$98,Data!$G106,0,"PI_SERVER","exact time"))</f>
        <v/>
      </c>
      <c r="U106" s="123" t="str">
        <f>IF(ISTEXT(_xll.PIArcVal(Data!U$98,Data!$G106,0,"PI_SERVER","exact time")),"",_xll.PIArcVal(Data!U$98,Data!$G106,0,"PI_SERVER","exact time"))</f>
        <v/>
      </c>
      <c r="V106" s="123" t="str">
        <f>IF(ISTEXT(_xll.PIArcVal(Data!V$98,Data!$G106,0,"PI_SERVER","exact time")),"",_xll.PIArcVal(Data!V$98,Data!$G106,0,"PI_SERVER","exact time"))</f>
        <v/>
      </c>
      <c r="W106" s="123" t="str">
        <f>IF(ISTEXT(_xll.PIArcVal(Data!W$98,Data!$G106,0,"PI_SERVER","exact time")),"",_xll.PIArcVal(Data!W$98,Data!$G106,0,"PI_SERVER","exact time"))</f>
        <v/>
      </c>
      <c r="X106" s="123" t="str">
        <f>IF(ISTEXT(_xll.PIArcVal(Data!X$98,Data!$G106,0,"PI_SERVER","exact time")),"",_xll.PIArcVal(Data!X$98,Data!$G106,0,"PI_SERVER","exact time"))</f>
        <v/>
      </c>
      <c r="Y106" s="123" t="str">
        <f>IF(ISTEXT(_xll.PIArcVal(Data!Y$98,Data!$G106,0,"PI_SERVER","exact time")),"",_xll.PIArcVal(Data!Y$98,Data!$G106,0,"PI_SERVER","exact time"))</f>
        <v/>
      </c>
      <c r="Z106" s="123" t="str">
        <f>IF(ISTEXT(_xll.PIArcVal(Data!Z$98,Data!$G106,0,"PI_SERVER","exact time")),"",_xll.PIArcVal(Data!Z$98,Data!$G106,0,"PI_SERVER","exact time"))</f>
        <v/>
      </c>
      <c r="AA106" s="123" t="str">
        <f>IF(ISTEXT(_xll.PIArcVal(Data!AA$98,Data!$G106,0,"PI_SERVER","exact time")),"",_xll.PIArcVal(Data!AA$98,Data!$G106,0,"PI_SERVER","exact time"))</f>
        <v/>
      </c>
      <c r="AB106" s="123" t="str">
        <f>IF(ISTEXT(_xll.PIArcVal(Data!AB$98,Data!$G106,0,"PI_SERVER","exact time")),"",_xll.PIArcVal(Data!AB$98,Data!$G106,0,"PI_SERVER","exact time"))</f>
        <v/>
      </c>
      <c r="AC106" s="123" t="str">
        <f>IF(ISTEXT(_xll.PIArcVal(Data!AC$98,Data!$G106,0,"PI_SERVER","exact time")),"",_xll.PIArcVal(Data!AC$98,Data!$G106,0,"PI_SERVER","exact time"))</f>
        <v/>
      </c>
      <c r="AD106" s="123" t="str">
        <f>IF(ISTEXT(_xll.PIArcVal(Data!AD$98,Data!$G106,0,"PI_SERVER","exact time")),"",_xll.PIArcVal(Data!AD$98,Data!$G106,0,"PI_SERVER","exact time"))</f>
        <v/>
      </c>
      <c r="AE106" s="123" t="str">
        <f>IF(ISTEXT(_xll.PIArcVal(Data!AE$98,Data!$G106,0,"PI_SERVER","exact time")),"",_xll.PIArcVal(Data!AE$98,Data!$G106,0,"PI_SERVER","exact time"))</f>
        <v/>
      </c>
      <c r="AF106" s="123" t="str">
        <f>IF(ISTEXT(_xll.PIArcVal(Data!AF$98,Data!$G106,0,"PI_SERVER","exact time")),"",_xll.PIArcVal(Data!AF$98,Data!$G106,0,"PI_SERVER","exact time"))</f>
        <v/>
      </c>
      <c r="AG106" s="123" t="str">
        <f>IF(ISTEXT(_xll.PIArcVal(Data!AG$98,Data!$G106,0,"PI_SERVER","exact time")),"",_xll.PIArcVal(Data!AG$98,Data!$G106,0,"PI_SERVER","exact time"))</f>
        <v/>
      </c>
      <c r="AH106" s="124" t="str">
        <f t="shared" si="105"/>
        <v/>
      </c>
      <c r="AI106" s="66" t="str">
        <f>IF(ISTEXT(_xll.PIArcVal(Data!AI$98,Data!$G106,0,"PI_SERVER","exact time")),"",_xll.PIArcVal(Data!AI$98,Data!$G106,0,"PI_SERVER","exact time"))</f>
        <v/>
      </c>
      <c r="AJ106" s="66" t="str">
        <f>IF(ISTEXT(_xll.PIArcVal(Data!AJ$98,Data!$G106,0,"PI_SERVER","exact time")),"",_xll.PIArcVal(Data!AJ$98,Data!$G106,0,"PI_SERVER","exact time"))</f>
        <v/>
      </c>
      <c r="AK106" s="66" t="str">
        <f>IF(ISTEXT(_xll.PIArcVal(Data!AK$98,Data!$G106,0,"PI_SERVER","exact time")),"",_xll.PIArcVal(Data!AK$98,Data!$G106,0,"PI_SERVER","exact time"))</f>
        <v/>
      </c>
      <c r="AL106" s="69">
        <f t="shared" si="108"/>
        <v>0</v>
      </c>
      <c r="AM106" s="18"/>
      <c r="AN106" s="18"/>
      <c r="AO106" s="18"/>
      <c r="AP106" s="9"/>
      <c r="AQ106" s="13"/>
      <c r="AR106" s="9"/>
      <c r="AT106" s="2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86"/>
    </row>
    <row r="107" spans="1:77" ht="28.5" customHeight="1" x14ac:dyDescent="0.25">
      <c r="A107" s="45"/>
      <c r="B107" s="9"/>
      <c r="C107" s="9"/>
      <c r="D107" s="9"/>
      <c r="E107" s="9"/>
      <c r="F107" s="9"/>
      <c r="G107" s="64"/>
      <c r="H107" s="65"/>
      <c r="I107" s="122" t="str">
        <f>IF(ISTEXT(_xll.PIArcVal(Data!I$98,Data!$G107,0,"PI_SERVER","exact time")),"",_xll.PIArcVal(Data!I$98,Data!$G107,0,"PI_SERVER","exact time"))</f>
        <v/>
      </c>
      <c r="J107" s="122" t="str">
        <f>IF(ISTEXT(_xll.PIArcVal(Data!J$98,Data!$G107,0,"PI_SERVER","exact time")),"",_xll.PIArcVal(Data!J$98,Data!$G107,0,"PI_SERVER","exact time"))</f>
        <v/>
      </c>
      <c r="K107" s="122" t="str">
        <f t="shared" si="106"/>
        <v/>
      </c>
      <c r="L107" s="122" t="str">
        <f>IF(ISTEXT(_xll.PIArcVal(Data!L$98,Data!$G107,0,"PI_SERVER","exact time")),"",_xll.PIArcVal(Data!L$98,Data!$G107,0,"PI_SERVER","exact time"))</f>
        <v/>
      </c>
      <c r="M107" s="122" t="str">
        <f>IF(ISTEXT(_xll.PIArcVal(Data!M$98,Data!$G107,0,"PI_SERVER","exact time")),"",_xll.PIArcVal(Data!M$98,Data!$G107,0,"PI_SERVER","exact time"))</f>
        <v/>
      </c>
      <c r="N107" s="122" t="str">
        <f t="shared" si="107"/>
        <v/>
      </c>
      <c r="O107" s="123" t="str">
        <f>IF(ISTEXT(_xll.PIArcVal(Data!O$98,Data!$G107,0,"PI_SERVER","exact time")),"",_xll.PIArcVal(Data!O$98,Data!$G107,0,"PI_SERVER","exact time"))</f>
        <v/>
      </c>
      <c r="P107" s="123" t="str">
        <f>IF(ISTEXT(_xll.PIArcVal(Data!P$98,Data!$G107,0,"PI_SERVER","exact time")),"",_xll.PIArcVal(Data!P$98,Data!$G107,0,"PI_SERVER","exact time"))</f>
        <v/>
      </c>
      <c r="Q107" s="123" t="str">
        <f>IF(ISTEXT(_xll.PIArcVal(Data!Q$98,Data!$G107,0,"PI_SERVER","exact time")),"",_xll.PIArcVal(Data!Q$98,Data!$G107,0,"PI_SERVER","exact time"))</f>
        <v/>
      </c>
      <c r="R107" s="123" t="str">
        <f>IF(ISTEXT(_xll.PIArcVal(Data!R$98,Data!$G107,0,"PI_SERVER","exact time")),"",_xll.PIArcVal(Data!R$98,Data!$G107,0,"PI_SERVER","exact time"))</f>
        <v/>
      </c>
      <c r="S107" s="123"/>
      <c r="T107" s="123" t="str">
        <f>IF(ISTEXT(_xll.PIArcVal(Data!T$98,Data!$G107,0,"PI_SERVER","exact time")),"",_xll.PIArcVal(Data!T$98,Data!$G107,0,"PI_SERVER","exact time"))</f>
        <v/>
      </c>
      <c r="U107" s="123" t="str">
        <f>IF(ISTEXT(_xll.PIArcVal(Data!U$98,Data!$G107,0,"PI_SERVER","exact time")),"",_xll.PIArcVal(Data!U$98,Data!$G107,0,"PI_SERVER","exact time"))</f>
        <v/>
      </c>
      <c r="V107" s="123" t="str">
        <f>IF(ISTEXT(_xll.PIArcVal(Data!V$98,Data!$G107,0,"PI_SERVER","exact time")),"",_xll.PIArcVal(Data!V$98,Data!$G107,0,"PI_SERVER","exact time"))</f>
        <v/>
      </c>
      <c r="W107" s="123" t="str">
        <f>IF(ISTEXT(_xll.PIArcVal(Data!W$98,Data!$G107,0,"PI_SERVER","exact time")),"",_xll.PIArcVal(Data!W$98,Data!$G107,0,"PI_SERVER","exact time"))</f>
        <v/>
      </c>
      <c r="X107" s="123" t="str">
        <f>IF(ISTEXT(_xll.PIArcVal(Data!X$98,Data!$G107,0,"PI_SERVER","exact time")),"",_xll.PIArcVal(Data!X$98,Data!$G107,0,"PI_SERVER","exact time"))</f>
        <v/>
      </c>
      <c r="Y107" s="123" t="str">
        <f>IF(ISTEXT(_xll.PIArcVal(Data!Y$98,Data!$G107,0,"PI_SERVER","exact time")),"",_xll.PIArcVal(Data!Y$98,Data!$G107,0,"PI_SERVER","exact time"))</f>
        <v/>
      </c>
      <c r="Z107" s="123" t="str">
        <f>IF(ISTEXT(_xll.PIArcVal(Data!Z$98,Data!$G107,0,"PI_SERVER","exact time")),"",_xll.PIArcVal(Data!Z$98,Data!$G107,0,"PI_SERVER","exact time"))</f>
        <v/>
      </c>
      <c r="AA107" s="123" t="str">
        <f>IF(ISTEXT(_xll.PIArcVal(Data!AA$98,Data!$G107,0,"PI_SERVER","exact time")),"",_xll.PIArcVal(Data!AA$98,Data!$G107,0,"PI_SERVER","exact time"))</f>
        <v/>
      </c>
      <c r="AB107" s="123" t="str">
        <f>IF(ISTEXT(_xll.PIArcVal(Data!AB$98,Data!$G107,0,"PI_SERVER","exact time")),"",_xll.PIArcVal(Data!AB$98,Data!$G107,0,"PI_SERVER","exact time"))</f>
        <v/>
      </c>
      <c r="AC107" s="123" t="str">
        <f>IF(ISTEXT(_xll.PIArcVal(Data!AC$98,Data!$G107,0,"PI_SERVER","exact time")),"",_xll.PIArcVal(Data!AC$98,Data!$G107,0,"PI_SERVER","exact time"))</f>
        <v/>
      </c>
      <c r="AD107" s="123" t="str">
        <f>IF(ISTEXT(_xll.PIArcVal(Data!AD$98,Data!$G107,0,"PI_SERVER","exact time")),"",_xll.PIArcVal(Data!AD$98,Data!$G107,0,"PI_SERVER","exact time"))</f>
        <v/>
      </c>
      <c r="AE107" s="123" t="str">
        <f>IF(ISTEXT(_xll.PIArcVal(Data!AE$98,Data!$G107,0,"PI_SERVER","exact time")),"",_xll.PIArcVal(Data!AE$98,Data!$G107,0,"PI_SERVER","exact time"))</f>
        <v/>
      </c>
      <c r="AF107" s="123" t="str">
        <f>IF(ISTEXT(_xll.PIArcVal(Data!AF$98,Data!$G107,0,"PI_SERVER","exact time")),"",_xll.PIArcVal(Data!AF$98,Data!$G107,0,"PI_SERVER","exact time"))</f>
        <v/>
      </c>
      <c r="AG107" s="123" t="str">
        <f>IF(ISTEXT(_xll.PIArcVal(Data!AG$98,Data!$G107,0,"PI_SERVER","exact time")),"",_xll.PIArcVal(Data!AG$98,Data!$G107,0,"PI_SERVER","exact time"))</f>
        <v/>
      </c>
      <c r="AH107" s="124" t="str">
        <f t="shared" si="105"/>
        <v/>
      </c>
      <c r="AI107" s="66" t="str">
        <f>IF(ISTEXT(_xll.PIArcVal(Data!AI$98,Data!$G107,0,"PI_SERVER","exact time")),"",_xll.PIArcVal(Data!AI$98,Data!$G107,0,"PI_SERVER","exact time"))</f>
        <v/>
      </c>
      <c r="AJ107" s="66" t="str">
        <f>IF(ISTEXT(_xll.PIArcVal(Data!AJ$98,Data!$G107,0,"PI_SERVER","exact time")),"",_xll.PIArcVal(Data!AJ$98,Data!$G107,0,"PI_SERVER","exact time"))</f>
        <v/>
      </c>
      <c r="AK107" s="66" t="str">
        <f>IF(ISTEXT(_xll.PIArcVal(Data!AK$98,Data!$G107,0,"PI_SERVER","exact time")),"",_xll.PIArcVal(Data!AK$98,Data!$G107,0,"PI_SERVER","exact time"))</f>
        <v/>
      </c>
      <c r="AL107" s="69">
        <f t="shared" si="108"/>
        <v>0</v>
      </c>
      <c r="AM107" s="18"/>
      <c r="AN107" s="18"/>
      <c r="AO107" s="18"/>
      <c r="AP107" s="9"/>
      <c r="AQ107" s="13"/>
      <c r="AR107" s="9"/>
      <c r="AT107" s="29"/>
      <c r="AU107" s="8"/>
      <c r="AV107" s="8"/>
      <c r="AW107" s="8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86"/>
    </row>
    <row r="108" spans="1:77" ht="28.5" customHeight="1" x14ac:dyDescent="0.25">
      <c r="A108" s="45"/>
      <c r="B108" s="9"/>
      <c r="C108" s="9"/>
      <c r="D108" s="9"/>
      <c r="E108" s="9"/>
      <c r="F108" s="9"/>
      <c r="G108" s="64"/>
      <c r="H108" s="65"/>
      <c r="I108" s="122" t="str">
        <f>IF(ISTEXT(_xll.PIArcVal(Data!I$98,Data!$G108,0,"PI_SERVER","exact time")),"",_xll.PIArcVal(Data!I$98,Data!$G108,0,"PI_SERVER","exact time"))</f>
        <v/>
      </c>
      <c r="J108" s="122" t="str">
        <f>IF(ISTEXT(_xll.PIArcVal(Data!J$98,Data!$G108,0,"PI_SERVER","exact time")),"",_xll.PIArcVal(Data!J$98,Data!$G108,0,"PI_SERVER","exact time"))</f>
        <v/>
      </c>
      <c r="K108" s="122" t="str">
        <f t="shared" si="106"/>
        <v/>
      </c>
      <c r="L108" s="122" t="str">
        <f>IF(ISTEXT(_xll.PIArcVal(Data!L$98,Data!$G108,0,"PI_SERVER","exact time")),"",_xll.PIArcVal(Data!L$98,Data!$G108,0,"PI_SERVER","exact time"))</f>
        <v/>
      </c>
      <c r="M108" s="122" t="str">
        <f>IF(ISTEXT(_xll.PIArcVal(Data!M$98,Data!$G108,0,"PI_SERVER","exact time")),"",_xll.PIArcVal(Data!M$98,Data!$G108,0,"PI_SERVER","exact time"))</f>
        <v/>
      </c>
      <c r="N108" s="122" t="str">
        <f t="shared" si="107"/>
        <v/>
      </c>
      <c r="O108" s="123" t="str">
        <f>IF(ISTEXT(_xll.PIArcVal(Data!O$98,Data!$G108,0,"PI_SERVER","exact time")),"",_xll.PIArcVal(Data!O$98,Data!$G108,0,"PI_SERVER","exact time"))</f>
        <v/>
      </c>
      <c r="P108" s="123" t="str">
        <f>IF(ISTEXT(_xll.PIArcVal(Data!P$98,Data!$G108,0,"PI_SERVER","exact time")),"",_xll.PIArcVal(Data!P$98,Data!$G108,0,"PI_SERVER","exact time"))</f>
        <v/>
      </c>
      <c r="Q108" s="123" t="str">
        <f>IF(ISTEXT(_xll.PIArcVal(Data!Q$98,Data!$G108,0,"PI_SERVER","exact time")),"",_xll.PIArcVal(Data!Q$98,Data!$G108,0,"PI_SERVER","exact time"))</f>
        <v/>
      </c>
      <c r="R108" s="123" t="str">
        <f>IF(ISTEXT(_xll.PIArcVal(Data!R$98,Data!$G108,0,"PI_SERVER","exact time")),"",_xll.PIArcVal(Data!R$98,Data!$G108,0,"PI_SERVER","exact time"))</f>
        <v/>
      </c>
      <c r="S108" s="123"/>
      <c r="T108" s="123" t="str">
        <f>IF(ISTEXT(_xll.PIArcVal(Data!T$98,Data!$G108,0,"PI_SERVER","exact time")),"",_xll.PIArcVal(Data!T$98,Data!$G108,0,"PI_SERVER","exact time"))</f>
        <v/>
      </c>
      <c r="U108" s="123" t="str">
        <f>IF(ISTEXT(_xll.PIArcVal(Data!U$98,Data!$G108,0,"PI_SERVER","exact time")),"",_xll.PIArcVal(Data!U$98,Data!$G108,0,"PI_SERVER","exact time"))</f>
        <v/>
      </c>
      <c r="V108" s="123" t="str">
        <f>IF(ISTEXT(_xll.PIArcVal(Data!V$98,Data!$G108,0,"PI_SERVER","exact time")),"",_xll.PIArcVal(Data!V$98,Data!$G108,0,"PI_SERVER","exact time"))</f>
        <v/>
      </c>
      <c r="W108" s="123" t="str">
        <f>IF(ISTEXT(_xll.PIArcVal(Data!W$98,Data!$G108,0,"PI_SERVER","exact time")),"",_xll.PIArcVal(Data!W$98,Data!$G108,0,"PI_SERVER","exact time"))</f>
        <v/>
      </c>
      <c r="X108" s="123" t="str">
        <f>IF(ISTEXT(_xll.PIArcVal(Data!X$98,Data!$G108,0,"PI_SERVER","exact time")),"",_xll.PIArcVal(Data!X$98,Data!$G108,0,"PI_SERVER","exact time"))</f>
        <v/>
      </c>
      <c r="Y108" s="123" t="str">
        <f>IF(ISTEXT(_xll.PIArcVal(Data!Y$98,Data!$G108,0,"PI_SERVER","exact time")),"",_xll.PIArcVal(Data!Y$98,Data!$G108,0,"PI_SERVER","exact time"))</f>
        <v/>
      </c>
      <c r="Z108" s="123" t="str">
        <f>IF(ISTEXT(_xll.PIArcVal(Data!Z$98,Data!$G108,0,"PI_SERVER","exact time")),"",_xll.PIArcVal(Data!Z$98,Data!$G108,0,"PI_SERVER","exact time"))</f>
        <v/>
      </c>
      <c r="AA108" s="123" t="str">
        <f>IF(ISTEXT(_xll.PIArcVal(Data!AA$98,Data!$G108,0,"PI_SERVER","exact time")),"",_xll.PIArcVal(Data!AA$98,Data!$G108,0,"PI_SERVER","exact time"))</f>
        <v/>
      </c>
      <c r="AB108" s="123" t="str">
        <f>IF(ISTEXT(_xll.PIArcVal(Data!AB$98,Data!$G108,0,"PI_SERVER","exact time")),"",_xll.PIArcVal(Data!AB$98,Data!$G108,0,"PI_SERVER","exact time"))</f>
        <v/>
      </c>
      <c r="AC108" s="123" t="str">
        <f>IF(ISTEXT(_xll.PIArcVal(Data!AC$98,Data!$G108,0,"PI_SERVER","exact time")),"",_xll.PIArcVal(Data!AC$98,Data!$G108,0,"PI_SERVER","exact time"))</f>
        <v/>
      </c>
      <c r="AD108" s="123" t="str">
        <f>IF(ISTEXT(_xll.PIArcVal(Data!AD$98,Data!$G108,0,"PI_SERVER","exact time")),"",_xll.PIArcVal(Data!AD$98,Data!$G108,0,"PI_SERVER","exact time"))</f>
        <v/>
      </c>
      <c r="AE108" s="123" t="str">
        <f>IF(ISTEXT(_xll.PIArcVal(Data!AE$98,Data!$G108,0,"PI_SERVER","exact time")),"",_xll.PIArcVal(Data!AE$98,Data!$G108,0,"PI_SERVER","exact time"))</f>
        <v/>
      </c>
      <c r="AF108" s="123" t="str">
        <f>IF(ISTEXT(_xll.PIArcVal(Data!AF$98,Data!$G108,0,"PI_SERVER","exact time")),"",_xll.PIArcVal(Data!AF$98,Data!$G108,0,"PI_SERVER","exact time"))</f>
        <v/>
      </c>
      <c r="AG108" s="123" t="str">
        <f>IF(ISTEXT(_xll.PIArcVal(Data!AG$98,Data!$G108,0,"PI_SERVER","exact time")),"",_xll.PIArcVal(Data!AG$98,Data!$G108,0,"PI_SERVER","exact time"))</f>
        <v/>
      </c>
      <c r="AH108" s="124" t="str">
        <f t="shared" si="105"/>
        <v/>
      </c>
      <c r="AI108" s="66" t="str">
        <f>IF(ISTEXT(_xll.PIArcVal(Data!AI$98,Data!$G108,0,"PI_SERVER","exact time")),"",_xll.PIArcVal(Data!AI$98,Data!$G108,0,"PI_SERVER","exact time"))</f>
        <v/>
      </c>
      <c r="AJ108" s="66" t="str">
        <f>IF(ISTEXT(_xll.PIArcVal(Data!AJ$98,Data!$G108,0,"PI_SERVER","exact time")),"",_xll.PIArcVal(Data!AJ$98,Data!$G108,0,"PI_SERVER","exact time"))</f>
        <v/>
      </c>
      <c r="AK108" s="66" t="str">
        <f>IF(ISTEXT(_xll.PIArcVal(Data!AK$98,Data!$G108,0,"PI_SERVER","exact time")),"",_xll.PIArcVal(Data!AK$98,Data!$G108,0,"PI_SERVER","exact time"))</f>
        <v/>
      </c>
      <c r="AL108" s="69">
        <f t="shared" si="108"/>
        <v>0</v>
      </c>
      <c r="AM108" s="18"/>
      <c r="AN108" s="18"/>
      <c r="AO108" s="18"/>
      <c r="AP108" s="9"/>
      <c r="AQ108" s="13"/>
      <c r="AR108" s="9"/>
      <c r="AT108" s="2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86"/>
    </row>
    <row r="109" spans="1:77" ht="28.5" customHeight="1" x14ac:dyDescent="0.25">
      <c r="A109" s="45"/>
      <c r="B109" s="9"/>
      <c r="C109" s="9"/>
      <c r="D109" s="9"/>
      <c r="E109" s="9"/>
      <c r="F109" s="9"/>
      <c r="G109" s="64"/>
      <c r="H109" s="65"/>
      <c r="I109" s="122" t="str">
        <f>IF(ISTEXT(_xll.PIArcVal(Data!I$98,Data!$G109,0,"PI_SERVER","exact time")),"",_xll.PIArcVal(Data!I$98,Data!$G109,0,"PI_SERVER","exact time"))</f>
        <v/>
      </c>
      <c r="J109" s="122" t="str">
        <f>IF(ISTEXT(_xll.PIArcVal(Data!J$98,Data!$G109,0,"PI_SERVER","exact time")),"",_xll.PIArcVal(Data!J$98,Data!$G109,0,"PI_SERVER","exact time"))</f>
        <v/>
      </c>
      <c r="K109" s="122" t="str">
        <f t="shared" si="106"/>
        <v/>
      </c>
      <c r="L109" s="122" t="str">
        <f>IF(ISTEXT(_xll.PIArcVal(Data!L$98,Data!$G109,0,"PI_SERVER","exact time")),"",_xll.PIArcVal(Data!L$98,Data!$G109,0,"PI_SERVER","exact time"))</f>
        <v/>
      </c>
      <c r="M109" s="122" t="str">
        <f>IF(ISTEXT(_xll.PIArcVal(Data!M$98,Data!$G109,0,"PI_SERVER","exact time")),"",_xll.PIArcVal(Data!M$98,Data!$G109,0,"PI_SERVER","exact time"))</f>
        <v/>
      </c>
      <c r="N109" s="122" t="str">
        <f t="shared" si="107"/>
        <v/>
      </c>
      <c r="O109" s="123" t="str">
        <f>IF(ISTEXT(_xll.PIArcVal(Data!O$98,Data!$G109,0,"PI_SERVER","exact time")),"",_xll.PIArcVal(Data!O$98,Data!$G109,0,"PI_SERVER","exact time"))</f>
        <v/>
      </c>
      <c r="P109" s="123" t="str">
        <f>IF(ISTEXT(_xll.PIArcVal(Data!P$98,Data!$G109,0,"PI_SERVER","exact time")),"",_xll.PIArcVal(Data!P$98,Data!$G109,0,"PI_SERVER","exact time"))</f>
        <v/>
      </c>
      <c r="Q109" s="123" t="str">
        <f>IF(ISTEXT(_xll.PIArcVal(Data!Q$98,Data!$G109,0,"PI_SERVER","exact time")),"",_xll.PIArcVal(Data!Q$98,Data!$G109,0,"PI_SERVER","exact time"))</f>
        <v/>
      </c>
      <c r="R109" s="123" t="str">
        <f>IF(ISTEXT(_xll.PIArcVal(Data!R$98,Data!$G109,0,"PI_SERVER","exact time")),"",_xll.PIArcVal(Data!R$98,Data!$G109,0,"PI_SERVER","exact time"))</f>
        <v/>
      </c>
      <c r="S109" s="123"/>
      <c r="T109" s="123" t="str">
        <f>IF(ISTEXT(_xll.PIArcVal(Data!T$98,Data!$G109,0,"PI_SERVER","exact time")),"",_xll.PIArcVal(Data!T$98,Data!$G109,0,"PI_SERVER","exact time"))</f>
        <v/>
      </c>
      <c r="U109" s="123" t="str">
        <f>IF(ISTEXT(_xll.PIArcVal(Data!U$98,Data!$G109,0,"PI_SERVER","exact time")),"",_xll.PIArcVal(Data!U$98,Data!$G109,0,"PI_SERVER","exact time"))</f>
        <v/>
      </c>
      <c r="V109" s="123" t="str">
        <f>IF(ISTEXT(_xll.PIArcVal(Data!V$98,Data!$G109,0,"PI_SERVER","exact time")),"",_xll.PIArcVal(Data!V$98,Data!$G109,0,"PI_SERVER","exact time"))</f>
        <v/>
      </c>
      <c r="W109" s="123" t="str">
        <f>IF(ISTEXT(_xll.PIArcVal(Data!W$98,Data!$G109,0,"PI_SERVER","exact time")),"",_xll.PIArcVal(Data!W$98,Data!$G109,0,"PI_SERVER","exact time"))</f>
        <v/>
      </c>
      <c r="X109" s="123" t="str">
        <f>IF(ISTEXT(_xll.PIArcVal(Data!X$98,Data!$G109,0,"PI_SERVER","exact time")),"",_xll.PIArcVal(Data!X$98,Data!$G109,0,"PI_SERVER","exact time"))</f>
        <v/>
      </c>
      <c r="Y109" s="123" t="str">
        <f>IF(ISTEXT(_xll.PIArcVal(Data!Y$98,Data!$G109,0,"PI_SERVER","exact time")),"",_xll.PIArcVal(Data!Y$98,Data!$G109,0,"PI_SERVER","exact time"))</f>
        <v/>
      </c>
      <c r="Z109" s="123" t="str">
        <f>IF(ISTEXT(_xll.PIArcVal(Data!Z$98,Data!$G109,0,"PI_SERVER","exact time")),"",_xll.PIArcVal(Data!Z$98,Data!$G109,0,"PI_SERVER","exact time"))</f>
        <v/>
      </c>
      <c r="AA109" s="123" t="str">
        <f>IF(ISTEXT(_xll.PIArcVal(Data!AA$98,Data!$G109,0,"PI_SERVER","exact time")),"",_xll.PIArcVal(Data!AA$98,Data!$G109,0,"PI_SERVER","exact time"))</f>
        <v/>
      </c>
      <c r="AB109" s="123" t="str">
        <f>IF(ISTEXT(_xll.PIArcVal(Data!AB$98,Data!$G109,0,"PI_SERVER","exact time")),"",_xll.PIArcVal(Data!AB$98,Data!$G109,0,"PI_SERVER","exact time"))</f>
        <v/>
      </c>
      <c r="AC109" s="123" t="str">
        <f>IF(ISTEXT(_xll.PIArcVal(Data!AC$98,Data!$G109,0,"PI_SERVER","exact time")),"",_xll.PIArcVal(Data!AC$98,Data!$G109,0,"PI_SERVER","exact time"))</f>
        <v/>
      </c>
      <c r="AD109" s="123" t="str">
        <f>IF(ISTEXT(_xll.PIArcVal(Data!AD$98,Data!$G109,0,"PI_SERVER","exact time")),"",_xll.PIArcVal(Data!AD$98,Data!$G109,0,"PI_SERVER","exact time"))</f>
        <v/>
      </c>
      <c r="AE109" s="123" t="str">
        <f>IF(ISTEXT(_xll.PIArcVal(Data!AE$98,Data!$G109,0,"PI_SERVER","exact time")),"",_xll.PIArcVal(Data!AE$98,Data!$G109,0,"PI_SERVER","exact time"))</f>
        <v/>
      </c>
      <c r="AF109" s="123" t="str">
        <f>IF(ISTEXT(_xll.PIArcVal(Data!AF$98,Data!$G109,0,"PI_SERVER","exact time")),"",_xll.PIArcVal(Data!AF$98,Data!$G109,0,"PI_SERVER","exact time"))</f>
        <v/>
      </c>
      <c r="AG109" s="123" t="str">
        <f>IF(ISTEXT(_xll.PIArcVal(Data!AG$98,Data!$G109,0,"PI_SERVER","exact time")),"",_xll.PIArcVal(Data!AG$98,Data!$G109,0,"PI_SERVER","exact time"))</f>
        <v/>
      </c>
      <c r="AH109" s="124" t="str">
        <f t="shared" si="105"/>
        <v/>
      </c>
      <c r="AI109" s="66" t="str">
        <f>IF(ISTEXT(_xll.PIArcVal(Data!AI$98,Data!$G109,0,"PI_SERVER","exact time")),"",_xll.PIArcVal(Data!AI$98,Data!$G109,0,"PI_SERVER","exact time"))</f>
        <v/>
      </c>
      <c r="AJ109" s="66" t="str">
        <f>IF(ISTEXT(_xll.PIArcVal(Data!AJ$98,Data!$G109,0,"PI_SERVER","exact time")),"",_xll.PIArcVal(Data!AJ$98,Data!$G109,0,"PI_SERVER","exact time"))</f>
        <v/>
      </c>
      <c r="AK109" s="66" t="str">
        <f>IF(ISTEXT(_xll.PIArcVal(Data!AK$98,Data!$G109,0,"PI_SERVER","exact time")),"",_xll.PIArcVal(Data!AK$98,Data!$G109,0,"PI_SERVER","exact time"))</f>
        <v/>
      </c>
      <c r="AL109" s="69">
        <f t="shared" si="108"/>
        <v>0</v>
      </c>
      <c r="AM109" s="18"/>
      <c r="AN109" s="18"/>
      <c r="AO109" s="18"/>
      <c r="AP109" s="9"/>
      <c r="AQ109" s="13"/>
      <c r="AR109" s="9"/>
      <c r="AT109" s="2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86"/>
    </row>
    <row r="110" spans="1:77" ht="28.5" customHeight="1" x14ac:dyDescent="0.25">
      <c r="A110" s="45"/>
      <c r="B110" s="9"/>
      <c r="C110" s="9"/>
      <c r="D110" s="9"/>
      <c r="E110" s="9"/>
      <c r="F110" s="9"/>
      <c r="G110" s="64"/>
      <c r="H110" s="65"/>
      <c r="I110" s="122" t="str">
        <f>IF(ISTEXT(_xll.PIArcVal(Data!I$98,Data!$G110,0,"PI_SERVER","exact time")),"",_xll.PIArcVal(Data!I$98,Data!$G110,0,"PI_SERVER","exact time"))</f>
        <v/>
      </c>
      <c r="J110" s="122" t="str">
        <f>IF(ISTEXT(_xll.PIArcVal(Data!J$98,Data!$G110,0,"PI_SERVER","exact time")),"",_xll.PIArcVal(Data!J$98,Data!$G110,0,"PI_SERVER","exact time"))</f>
        <v/>
      </c>
      <c r="K110" s="122" t="str">
        <f t="shared" si="106"/>
        <v/>
      </c>
      <c r="L110" s="122" t="str">
        <f>IF(ISTEXT(_xll.PIArcVal(Data!L$98,Data!$G110,0,"PI_SERVER","exact time")),"",_xll.PIArcVal(Data!L$98,Data!$G110,0,"PI_SERVER","exact time"))</f>
        <v/>
      </c>
      <c r="M110" s="122" t="str">
        <f>IF(ISTEXT(_xll.PIArcVal(Data!M$98,Data!$G110,0,"PI_SERVER","exact time")),"",_xll.PIArcVal(Data!M$98,Data!$G110,0,"PI_SERVER","exact time"))</f>
        <v/>
      </c>
      <c r="N110" s="122" t="str">
        <f t="shared" si="107"/>
        <v/>
      </c>
      <c r="O110" s="123" t="str">
        <f>IF(ISTEXT(_xll.PIArcVal(Data!O$98,Data!$G110,0,"PI_SERVER","exact time")),"",_xll.PIArcVal(Data!O$98,Data!$G110,0,"PI_SERVER","exact time"))</f>
        <v/>
      </c>
      <c r="P110" s="123" t="str">
        <f>IF(ISTEXT(_xll.PIArcVal(Data!P$98,Data!$G110,0,"PI_SERVER","exact time")),"",_xll.PIArcVal(Data!P$98,Data!$G110,0,"PI_SERVER","exact time"))</f>
        <v/>
      </c>
      <c r="Q110" s="123" t="str">
        <f>IF(ISTEXT(_xll.PIArcVal(Data!Q$98,Data!$G110,0,"PI_SERVER","exact time")),"",_xll.PIArcVal(Data!Q$98,Data!$G110,0,"PI_SERVER","exact time"))</f>
        <v/>
      </c>
      <c r="R110" s="123" t="str">
        <f>IF(ISTEXT(_xll.PIArcVal(Data!R$98,Data!$G110,0,"PI_SERVER","exact time")),"",_xll.PIArcVal(Data!R$98,Data!$G110,0,"PI_SERVER","exact time"))</f>
        <v/>
      </c>
      <c r="S110" s="123"/>
      <c r="T110" s="123" t="str">
        <f>IF(ISTEXT(_xll.PIArcVal(Data!T$98,Data!$G110,0,"PI_SERVER","exact time")),"",_xll.PIArcVal(Data!T$98,Data!$G110,0,"PI_SERVER","exact time"))</f>
        <v/>
      </c>
      <c r="U110" s="123" t="str">
        <f>IF(ISTEXT(_xll.PIArcVal(Data!U$98,Data!$G110,0,"PI_SERVER","exact time")),"",_xll.PIArcVal(Data!U$98,Data!$G110,0,"PI_SERVER","exact time"))</f>
        <v/>
      </c>
      <c r="V110" s="123" t="str">
        <f>IF(ISTEXT(_xll.PIArcVal(Data!V$98,Data!$G110,0,"PI_SERVER","exact time")),"",_xll.PIArcVal(Data!V$98,Data!$G110,0,"PI_SERVER","exact time"))</f>
        <v/>
      </c>
      <c r="W110" s="123" t="str">
        <f>IF(ISTEXT(_xll.PIArcVal(Data!W$98,Data!$G110,0,"PI_SERVER","exact time")),"",_xll.PIArcVal(Data!W$98,Data!$G110,0,"PI_SERVER","exact time"))</f>
        <v/>
      </c>
      <c r="X110" s="123" t="str">
        <f>IF(ISTEXT(_xll.PIArcVal(Data!X$98,Data!$G110,0,"PI_SERVER","exact time")),"",_xll.PIArcVal(Data!X$98,Data!$G110,0,"PI_SERVER","exact time"))</f>
        <v/>
      </c>
      <c r="Y110" s="123" t="str">
        <f>IF(ISTEXT(_xll.PIArcVal(Data!Y$98,Data!$G110,0,"PI_SERVER","exact time")),"",_xll.PIArcVal(Data!Y$98,Data!$G110,0,"PI_SERVER","exact time"))</f>
        <v/>
      </c>
      <c r="Z110" s="123" t="str">
        <f>IF(ISTEXT(_xll.PIArcVal(Data!Z$98,Data!$G110,0,"PI_SERVER","exact time")),"",_xll.PIArcVal(Data!Z$98,Data!$G110,0,"PI_SERVER","exact time"))</f>
        <v/>
      </c>
      <c r="AA110" s="123" t="str">
        <f>IF(ISTEXT(_xll.PIArcVal(Data!AA$98,Data!$G110,0,"PI_SERVER","exact time")),"",_xll.PIArcVal(Data!AA$98,Data!$G110,0,"PI_SERVER","exact time"))</f>
        <v/>
      </c>
      <c r="AB110" s="123" t="str">
        <f>IF(ISTEXT(_xll.PIArcVal(Data!AB$98,Data!$G110,0,"PI_SERVER","exact time")),"",_xll.PIArcVal(Data!AB$98,Data!$G110,0,"PI_SERVER","exact time"))</f>
        <v/>
      </c>
      <c r="AC110" s="123" t="str">
        <f>IF(ISTEXT(_xll.PIArcVal(Data!AC$98,Data!$G110,0,"PI_SERVER","exact time")),"",_xll.PIArcVal(Data!AC$98,Data!$G110,0,"PI_SERVER","exact time"))</f>
        <v/>
      </c>
      <c r="AD110" s="123" t="str">
        <f>IF(ISTEXT(_xll.PIArcVal(Data!AD$98,Data!$G110,0,"PI_SERVER","exact time")),"",_xll.PIArcVal(Data!AD$98,Data!$G110,0,"PI_SERVER","exact time"))</f>
        <v/>
      </c>
      <c r="AE110" s="123" t="str">
        <f>IF(ISTEXT(_xll.PIArcVal(Data!AE$98,Data!$G110,0,"PI_SERVER","exact time")),"",_xll.PIArcVal(Data!AE$98,Data!$G110,0,"PI_SERVER","exact time"))</f>
        <v/>
      </c>
      <c r="AF110" s="123" t="str">
        <f>IF(ISTEXT(_xll.PIArcVal(Data!AF$98,Data!$G110,0,"PI_SERVER","exact time")),"",_xll.PIArcVal(Data!AF$98,Data!$G110,0,"PI_SERVER","exact time"))</f>
        <v/>
      </c>
      <c r="AG110" s="123" t="str">
        <f>IF(ISTEXT(_xll.PIArcVal(Data!AG$98,Data!$G110,0,"PI_SERVER","exact time")),"",_xll.PIArcVal(Data!AG$98,Data!$G110,0,"PI_SERVER","exact time"))</f>
        <v/>
      </c>
      <c r="AH110" s="124" t="str">
        <f t="shared" si="105"/>
        <v/>
      </c>
      <c r="AI110" s="66" t="str">
        <f>IF(ISTEXT(_xll.PIArcVal(Data!AI$98,Data!$G110,0,"PI_SERVER","exact time")),"",_xll.PIArcVal(Data!AI$98,Data!$G110,0,"PI_SERVER","exact time"))</f>
        <v/>
      </c>
      <c r="AJ110" s="66" t="str">
        <f>IF(ISTEXT(_xll.PIArcVal(Data!AJ$98,Data!$G110,0,"PI_SERVER","exact time")),"",_xll.PIArcVal(Data!AJ$98,Data!$G110,0,"PI_SERVER","exact time"))</f>
        <v/>
      </c>
      <c r="AK110" s="66" t="str">
        <f>IF(ISTEXT(_xll.PIArcVal(Data!AK$98,Data!$G110,0,"PI_SERVER","exact time")),"",_xll.PIArcVal(Data!AK$98,Data!$G110,0,"PI_SERVER","exact time"))</f>
        <v/>
      </c>
      <c r="AL110" s="69">
        <f t="shared" si="108"/>
        <v>0</v>
      </c>
      <c r="AM110" s="18"/>
      <c r="AN110" s="18"/>
      <c r="AO110" s="18"/>
      <c r="AP110" s="9"/>
      <c r="AQ110" s="13"/>
      <c r="AR110" s="9"/>
      <c r="AT110" s="2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86"/>
    </row>
    <row r="111" spans="1:77" ht="28.5" customHeight="1" x14ac:dyDescent="0.25">
      <c r="A111" s="45"/>
      <c r="B111" s="9"/>
      <c r="C111" s="9"/>
      <c r="D111" s="9"/>
      <c r="E111" s="9"/>
      <c r="F111" s="9"/>
      <c r="G111" s="64"/>
      <c r="H111" s="65"/>
      <c r="I111" s="122" t="str">
        <f>IF(ISTEXT(_xll.PIArcVal(Data!I$98,Data!$G111,0,"PI_SERVER","exact time")),"",_xll.PIArcVal(Data!I$98,Data!$G111,0,"PI_SERVER","exact time"))</f>
        <v/>
      </c>
      <c r="J111" s="122" t="str">
        <f>IF(ISTEXT(_xll.PIArcVal(Data!J$98,Data!$G111,0,"PI_SERVER","exact time")),"",_xll.PIArcVal(Data!J$98,Data!$G111,0,"PI_SERVER","exact time"))</f>
        <v/>
      </c>
      <c r="K111" s="122" t="str">
        <f t="shared" si="106"/>
        <v/>
      </c>
      <c r="L111" s="122" t="str">
        <f>IF(ISTEXT(_xll.PIArcVal(Data!L$98,Data!$G111,0,"PI_SERVER","exact time")),"",_xll.PIArcVal(Data!L$98,Data!$G111,0,"PI_SERVER","exact time"))</f>
        <v/>
      </c>
      <c r="M111" s="122" t="str">
        <f>IF(ISTEXT(_xll.PIArcVal(Data!M$98,Data!$G111,0,"PI_SERVER","exact time")),"",_xll.PIArcVal(Data!M$98,Data!$G111,0,"PI_SERVER","exact time"))</f>
        <v/>
      </c>
      <c r="N111" s="122" t="str">
        <f t="shared" si="107"/>
        <v/>
      </c>
      <c r="O111" s="123" t="str">
        <f>IF(ISTEXT(_xll.PIArcVal(Data!O$98,Data!$G111,0,"PI_SERVER","exact time")),"",_xll.PIArcVal(Data!O$98,Data!$G111,0,"PI_SERVER","exact time"))</f>
        <v/>
      </c>
      <c r="P111" s="123" t="str">
        <f>IF(ISTEXT(_xll.PIArcVal(Data!P$98,Data!$G111,0,"PI_SERVER","exact time")),"",_xll.PIArcVal(Data!P$98,Data!$G111,0,"PI_SERVER","exact time"))</f>
        <v/>
      </c>
      <c r="Q111" s="123" t="str">
        <f>IF(ISTEXT(_xll.PIArcVal(Data!Q$98,Data!$G111,0,"PI_SERVER","exact time")),"",_xll.PIArcVal(Data!Q$98,Data!$G111,0,"PI_SERVER","exact time"))</f>
        <v/>
      </c>
      <c r="R111" s="123" t="str">
        <f>IF(ISTEXT(_xll.PIArcVal(Data!R$98,Data!$G111,0,"PI_SERVER","exact time")),"",_xll.PIArcVal(Data!R$98,Data!$G111,0,"PI_SERVER","exact time"))</f>
        <v/>
      </c>
      <c r="S111" s="123"/>
      <c r="T111" s="123" t="str">
        <f>IF(ISTEXT(_xll.PIArcVal(Data!T$98,Data!$G111,0,"PI_SERVER","exact time")),"",_xll.PIArcVal(Data!T$98,Data!$G111,0,"PI_SERVER","exact time"))</f>
        <v/>
      </c>
      <c r="U111" s="123" t="str">
        <f>IF(ISTEXT(_xll.PIArcVal(Data!U$98,Data!$G111,0,"PI_SERVER","exact time")),"",_xll.PIArcVal(Data!U$98,Data!$G111,0,"PI_SERVER","exact time"))</f>
        <v/>
      </c>
      <c r="V111" s="123" t="str">
        <f>IF(ISTEXT(_xll.PIArcVal(Data!V$98,Data!$G111,0,"PI_SERVER","exact time")),"",_xll.PIArcVal(Data!V$98,Data!$G111,0,"PI_SERVER","exact time"))</f>
        <v/>
      </c>
      <c r="W111" s="123" t="str">
        <f>IF(ISTEXT(_xll.PIArcVal(Data!W$98,Data!$G111,0,"PI_SERVER","exact time")),"",_xll.PIArcVal(Data!W$98,Data!$G111,0,"PI_SERVER","exact time"))</f>
        <v/>
      </c>
      <c r="X111" s="123" t="str">
        <f>IF(ISTEXT(_xll.PIArcVal(Data!X$98,Data!$G111,0,"PI_SERVER","exact time")),"",_xll.PIArcVal(Data!X$98,Data!$G111,0,"PI_SERVER","exact time"))</f>
        <v/>
      </c>
      <c r="Y111" s="123" t="str">
        <f>IF(ISTEXT(_xll.PIArcVal(Data!Y$98,Data!$G111,0,"PI_SERVER","exact time")),"",_xll.PIArcVal(Data!Y$98,Data!$G111,0,"PI_SERVER","exact time"))</f>
        <v/>
      </c>
      <c r="Z111" s="123" t="str">
        <f>IF(ISTEXT(_xll.PIArcVal(Data!Z$98,Data!$G111,0,"PI_SERVER","exact time")),"",_xll.PIArcVal(Data!Z$98,Data!$G111,0,"PI_SERVER","exact time"))</f>
        <v/>
      </c>
      <c r="AA111" s="123" t="str">
        <f>IF(ISTEXT(_xll.PIArcVal(Data!AA$98,Data!$G111,0,"PI_SERVER","exact time")),"",_xll.PIArcVal(Data!AA$98,Data!$G111,0,"PI_SERVER","exact time"))</f>
        <v/>
      </c>
      <c r="AB111" s="123" t="str">
        <f>IF(ISTEXT(_xll.PIArcVal(Data!AB$98,Data!$G111,0,"PI_SERVER","exact time")),"",_xll.PIArcVal(Data!AB$98,Data!$G111,0,"PI_SERVER","exact time"))</f>
        <v/>
      </c>
      <c r="AC111" s="123" t="str">
        <f>IF(ISTEXT(_xll.PIArcVal(Data!AC$98,Data!$G111,0,"PI_SERVER","exact time")),"",_xll.PIArcVal(Data!AC$98,Data!$G111,0,"PI_SERVER","exact time"))</f>
        <v/>
      </c>
      <c r="AD111" s="123" t="str">
        <f>IF(ISTEXT(_xll.PIArcVal(Data!AD$98,Data!$G111,0,"PI_SERVER","exact time")),"",_xll.PIArcVal(Data!AD$98,Data!$G111,0,"PI_SERVER","exact time"))</f>
        <v/>
      </c>
      <c r="AE111" s="123" t="str">
        <f>IF(ISTEXT(_xll.PIArcVal(Data!AE$98,Data!$G111,0,"PI_SERVER","exact time")),"",_xll.PIArcVal(Data!AE$98,Data!$G111,0,"PI_SERVER","exact time"))</f>
        <v/>
      </c>
      <c r="AF111" s="123" t="str">
        <f>IF(ISTEXT(_xll.PIArcVal(Data!AF$98,Data!$G111,0,"PI_SERVER","exact time")),"",_xll.PIArcVal(Data!AF$98,Data!$G111,0,"PI_SERVER","exact time"))</f>
        <v/>
      </c>
      <c r="AG111" s="123" t="str">
        <f>IF(ISTEXT(_xll.PIArcVal(Data!AG$98,Data!$G111,0,"PI_SERVER","exact time")),"",_xll.PIArcVal(Data!AG$98,Data!$G111,0,"PI_SERVER","exact time"))</f>
        <v/>
      </c>
      <c r="AH111" s="124" t="str">
        <f t="shared" si="105"/>
        <v/>
      </c>
      <c r="AI111" s="66" t="str">
        <f>IF(ISTEXT(_xll.PIArcVal(Data!AI$98,Data!$G111,0,"PI_SERVER","exact time")),"",_xll.PIArcVal(Data!AI$98,Data!$G111,0,"PI_SERVER","exact time"))</f>
        <v/>
      </c>
      <c r="AJ111" s="66" t="str">
        <f>IF(ISTEXT(_xll.PIArcVal(Data!AJ$98,Data!$G111,0,"PI_SERVER","exact time")),"",_xll.PIArcVal(Data!AJ$98,Data!$G111,0,"PI_SERVER","exact time"))</f>
        <v/>
      </c>
      <c r="AK111" s="66" t="str">
        <f>IF(ISTEXT(_xll.PIArcVal(Data!AK$98,Data!$G111,0,"PI_SERVER","exact time")),"",_xll.PIArcVal(Data!AK$98,Data!$G111,0,"PI_SERVER","exact time"))</f>
        <v/>
      </c>
      <c r="AL111" s="69">
        <f t="shared" si="108"/>
        <v>0</v>
      </c>
      <c r="AM111" s="18"/>
      <c r="AN111" s="18"/>
      <c r="AO111" s="18"/>
      <c r="AP111" s="9"/>
      <c r="AQ111" s="13"/>
      <c r="AR111" s="9"/>
      <c r="AT111" s="2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86"/>
    </row>
    <row r="112" spans="1:77" ht="20.25" x14ac:dyDescent="0.25">
      <c r="G112" s="14"/>
      <c r="H112" s="23"/>
      <c r="I112" s="132"/>
      <c r="J112" s="132"/>
      <c r="K112" s="132"/>
      <c r="L112" s="132"/>
      <c r="AK112" s="31" t="str">
        <f>IF(ISTEXT(_xll.PIArcVal(Data!AK$98,Data!$G112,0,"PI_SERVER","exact time")),"",_xll.PIArcVal(Data!AK$98,Data!$G112,0,"PI_SERVER","exact time"))</f>
        <v/>
      </c>
      <c r="AO112" s="18"/>
      <c r="AP112" s="9"/>
      <c r="AQ112" s="13"/>
      <c r="AR112" s="9"/>
      <c r="AT112" s="2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86"/>
    </row>
    <row r="113" spans="7:77" ht="20.25" x14ac:dyDescent="0.25">
      <c r="G113" s="14"/>
      <c r="H113" s="23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  <c r="AH113" s="132"/>
      <c r="AI113" s="15"/>
      <c r="AJ113" s="15"/>
      <c r="AK113" s="31" t="str">
        <f>IF(ISTEXT(_xll.PIArcVal(Data!AK$98,Data!$G113,0,"PI_SERVER","exact time")),"",_xll.PIArcVal(Data!AK$98,Data!$G113,0,"PI_SERVER","exact time"))</f>
        <v/>
      </c>
      <c r="AO113" s="18"/>
      <c r="AP113" s="9"/>
      <c r="AQ113" s="13"/>
      <c r="AR113" s="9"/>
      <c r="AT113" s="2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86"/>
    </row>
    <row r="114" spans="7:77" ht="20.25" x14ac:dyDescent="0.25">
      <c r="G114" s="14"/>
      <c r="H114" s="23"/>
      <c r="I114" s="133"/>
      <c r="J114" s="133"/>
      <c r="K114" s="133"/>
      <c r="L114" s="133"/>
      <c r="M114" s="133"/>
      <c r="N114" s="133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5"/>
      <c r="AI114" s="24"/>
      <c r="AJ114" s="24"/>
      <c r="AK114" s="31"/>
      <c r="AO114" s="18"/>
      <c r="AP114" s="9"/>
      <c r="AQ114" s="13"/>
      <c r="AR114" s="9"/>
      <c r="AT114" s="2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86"/>
    </row>
    <row r="115" spans="7:77" ht="20.25" x14ac:dyDescent="0.25">
      <c r="G115" s="14"/>
      <c r="H115" s="23"/>
      <c r="I115" s="133"/>
      <c r="J115" s="133"/>
      <c r="K115" s="133"/>
      <c r="L115" s="133"/>
      <c r="M115" s="133"/>
      <c r="N115" s="133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5"/>
      <c r="AI115" s="24"/>
      <c r="AJ115" s="24"/>
      <c r="AK115" s="31"/>
      <c r="AU115" s="9"/>
      <c r="AV115" s="9"/>
      <c r="AW115" s="9"/>
    </row>
    <row r="116" spans="7:77" ht="20.25" x14ac:dyDescent="0.25">
      <c r="G116" s="14"/>
      <c r="H116" s="23"/>
      <c r="I116" s="133"/>
      <c r="J116" s="133"/>
      <c r="K116" s="133"/>
      <c r="L116" s="133"/>
      <c r="M116" s="133"/>
      <c r="N116" s="133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5"/>
      <c r="AI116" s="24"/>
      <c r="AJ116" s="24"/>
      <c r="AK116" s="31"/>
      <c r="AU116" s="9"/>
      <c r="AV116" s="9"/>
      <c r="AW116" s="9"/>
    </row>
    <row r="117" spans="7:77" ht="20.25" x14ac:dyDescent="0.25">
      <c r="G117" s="14"/>
      <c r="H117" s="23"/>
      <c r="I117" s="133"/>
      <c r="J117" s="133"/>
      <c r="K117" s="133"/>
      <c r="L117" s="133"/>
      <c r="M117" s="133"/>
      <c r="N117" s="133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5"/>
      <c r="AI117" s="24"/>
      <c r="AJ117" s="24"/>
      <c r="AK117" s="31"/>
      <c r="AU117" s="9"/>
      <c r="AV117" s="9"/>
      <c r="AW117" s="9"/>
    </row>
    <row r="118" spans="7:77" ht="20.25" x14ac:dyDescent="0.25">
      <c r="G118" s="14"/>
      <c r="H118" s="23"/>
      <c r="I118" s="133"/>
      <c r="J118" s="133"/>
      <c r="K118" s="133"/>
      <c r="L118" s="133"/>
      <c r="M118" s="133"/>
      <c r="N118" s="133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5"/>
      <c r="AI118" s="24"/>
      <c r="AJ118" s="24"/>
      <c r="AK118" s="31"/>
      <c r="AU118" s="9"/>
      <c r="AV118" s="9"/>
      <c r="AW118" s="9"/>
    </row>
    <row r="119" spans="7:77" ht="20.25" x14ac:dyDescent="0.25">
      <c r="G119" s="14"/>
      <c r="H119" s="23"/>
      <c r="I119" s="133"/>
      <c r="J119" s="133"/>
      <c r="K119" s="133"/>
      <c r="L119" s="133"/>
      <c r="M119" s="133"/>
      <c r="N119" s="133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5"/>
      <c r="AI119" s="24"/>
      <c r="AJ119" s="24"/>
      <c r="AK119" s="31"/>
    </row>
    <row r="120" spans="7:77" ht="20.25" x14ac:dyDescent="0.25">
      <c r="G120" s="14"/>
      <c r="H120" s="23"/>
      <c r="I120" s="133"/>
      <c r="J120" s="133"/>
      <c r="K120" s="133"/>
      <c r="L120" s="133"/>
      <c r="M120" s="133"/>
      <c r="N120" s="133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5"/>
      <c r="AI120" s="24"/>
      <c r="AJ120" s="24"/>
      <c r="AK120" s="31"/>
    </row>
    <row r="121" spans="7:77" ht="20.25" x14ac:dyDescent="0.25">
      <c r="G121" s="14"/>
      <c r="H121" s="23"/>
      <c r="I121" s="133"/>
      <c r="J121" s="133"/>
      <c r="K121" s="133"/>
      <c r="L121" s="133"/>
      <c r="M121" s="133"/>
      <c r="N121" s="133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5"/>
      <c r="AI121" s="24"/>
      <c r="AJ121" s="24"/>
      <c r="AK121" s="31"/>
    </row>
    <row r="122" spans="7:77" ht="20.25" x14ac:dyDescent="0.25">
      <c r="G122" s="14"/>
      <c r="H122" s="23"/>
      <c r="I122" s="133"/>
      <c r="J122" s="133"/>
      <c r="K122" s="133"/>
      <c r="L122" s="133"/>
      <c r="M122" s="133"/>
      <c r="N122" s="133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5"/>
      <c r="AI122" s="24"/>
      <c r="AJ122" s="24"/>
      <c r="AK122" s="31"/>
    </row>
    <row r="123" spans="7:77" ht="20.25" x14ac:dyDescent="0.25">
      <c r="G123" s="14"/>
      <c r="H123" s="23"/>
      <c r="I123" s="133"/>
      <c r="J123" s="133"/>
      <c r="K123" s="133"/>
      <c r="L123" s="133"/>
      <c r="M123" s="133"/>
      <c r="N123" s="133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5"/>
      <c r="AI123" s="24"/>
      <c r="AJ123" s="24"/>
      <c r="AK123" s="31"/>
    </row>
    <row r="124" spans="7:77" ht="20.25" x14ac:dyDescent="0.25">
      <c r="G124" s="14"/>
      <c r="H124" s="23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5"/>
      <c r="AJ124" s="15"/>
      <c r="AK124" s="15"/>
    </row>
    <row r="125" spans="7:77" ht="20.25" x14ac:dyDescent="0.25">
      <c r="G125" s="14"/>
      <c r="H125" s="23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5"/>
      <c r="AJ125" s="15"/>
      <c r="AK125" s="15"/>
    </row>
    <row r="126" spans="7:77" ht="20.25" x14ac:dyDescent="0.25">
      <c r="G126" s="14"/>
      <c r="H126" s="23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5"/>
      <c r="AJ126" s="15"/>
      <c r="AK126" s="15"/>
    </row>
    <row r="127" spans="7:77" ht="20.25" x14ac:dyDescent="0.25">
      <c r="G127" s="14"/>
      <c r="H127" s="23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5"/>
      <c r="AJ127" s="15"/>
      <c r="AK127" s="15"/>
    </row>
    <row r="128" spans="7:77" ht="20.25" x14ac:dyDescent="0.25">
      <c r="G128" s="14"/>
      <c r="H128" s="23"/>
      <c r="I128" s="132"/>
      <c r="J128" s="132"/>
      <c r="K128" s="132"/>
      <c r="L128" s="132"/>
    </row>
    <row r="129" spans="7:12" ht="20.25" x14ac:dyDescent="0.25">
      <c r="G129" s="14"/>
      <c r="H129" s="23"/>
      <c r="I129" s="132"/>
      <c r="J129" s="132"/>
      <c r="K129" s="132"/>
      <c r="L129" s="132"/>
    </row>
    <row r="130" spans="7:12" ht="20.25" x14ac:dyDescent="0.25">
      <c r="G130" s="14"/>
      <c r="H130" s="23"/>
      <c r="I130" s="132"/>
      <c r="J130" s="132"/>
      <c r="K130" s="132"/>
      <c r="L130" s="132"/>
    </row>
    <row r="131" spans="7:12" ht="20.25" x14ac:dyDescent="0.25">
      <c r="G131" s="14"/>
      <c r="H131" s="23"/>
      <c r="I131" s="132"/>
      <c r="J131" s="132"/>
      <c r="K131" s="132"/>
      <c r="L131" s="132"/>
    </row>
    <row r="132" spans="7:12" ht="20.25" x14ac:dyDescent="0.25">
      <c r="G132" s="14"/>
      <c r="H132" s="23"/>
      <c r="I132" s="132"/>
      <c r="J132" s="132"/>
      <c r="K132" s="132"/>
      <c r="L132" s="132"/>
    </row>
    <row r="133" spans="7:12" ht="20.25" x14ac:dyDescent="0.25">
      <c r="G133" s="14"/>
      <c r="H133" s="23"/>
      <c r="I133" s="132"/>
      <c r="J133" s="132"/>
      <c r="K133" s="132"/>
      <c r="L133" s="132"/>
    </row>
    <row r="134" spans="7:12" ht="20.25" x14ac:dyDescent="0.25">
      <c r="G134" s="14"/>
      <c r="H134" s="23"/>
      <c r="I134" s="132"/>
      <c r="J134" s="132"/>
      <c r="K134" s="132"/>
      <c r="L134" s="132"/>
    </row>
    <row r="135" spans="7:12" ht="20.25" x14ac:dyDescent="0.25">
      <c r="G135" s="14"/>
      <c r="H135" s="23"/>
      <c r="I135" s="132"/>
      <c r="J135" s="132"/>
      <c r="K135" s="132"/>
      <c r="L135" s="132"/>
    </row>
    <row r="136" spans="7:12" ht="20.25" x14ac:dyDescent="0.25">
      <c r="G136" s="14"/>
      <c r="H136" s="23"/>
      <c r="I136" s="132"/>
      <c r="J136" s="132"/>
      <c r="K136" s="132"/>
      <c r="L136" s="132"/>
    </row>
    <row r="137" spans="7:12" ht="20.25" x14ac:dyDescent="0.25">
      <c r="G137" s="14"/>
      <c r="H137" s="23"/>
      <c r="I137" s="132"/>
      <c r="J137" s="132"/>
      <c r="K137" s="132"/>
      <c r="L137" s="132"/>
    </row>
    <row r="138" spans="7:12" ht="20.25" x14ac:dyDescent="0.25">
      <c r="G138" s="14"/>
      <c r="H138" s="23"/>
      <c r="I138" s="132"/>
      <c r="J138" s="132"/>
      <c r="K138" s="132"/>
      <c r="L138" s="132"/>
    </row>
    <row r="139" spans="7:12" ht="20.25" x14ac:dyDescent="0.25">
      <c r="G139" s="14"/>
      <c r="H139" s="23"/>
      <c r="I139" s="132"/>
      <c r="J139" s="132"/>
      <c r="K139" s="132"/>
      <c r="L139" s="132"/>
    </row>
    <row r="140" spans="7:12" ht="20.25" x14ac:dyDescent="0.25">
      <c r="G140" s="14"/>
      <c r="H140" s="23"/>
      <c r="I140" s="132"/>
      <c r="J140" s="132"/>
      <c r="K140" s="132"/>
      <c r="L140" s="132"/>
    </row>
    <row r="141" spans="7:12" ht="20.25" x14ac:dyDescent="0.25">
      <c r="G141" s="14"/>
      <c r="H141" s="23"/>
      <c r="I141" s="132"/>
      <c r="J141" s="132"/>
      <c r="K141" s="132"/>
      <c r="L141" s="132"/>
    </row>
    <row r="142" spans="7:12" ht="20.25" x14ac:dyDescent="0.25">
      <c r="G142" s="14"/>
      <c r="H142" s="23"/>
      <c r="I142" s="132"/>
      <c r="J142" s="132"/>
      <c r="K142" s="132"/>
      <c r="L142" s="132"/>
    </row>
    <row r="143" spans="7:12" ht="20.25" x14ac:dyDescent="0.25">
      <c r="G143" s="14"/>
      <c r="H143" s="23"/>
      <c r="I143" s="132"/>
      <c r="J143" s="132"/>
      <c r="K143" s="132"/>
      <c r="L143" s="132"/>
    </row>
    <row r="144" spans="7:12" ht="20.25" x14ac:dyDescent="0.25">
      <c r="G144" s="14"/>
      <c r="H144" s="23"/>
      <c r="I144" s="132"/>
      <c r="J144" s="132"/>
      <c r="K144" s="132"/>
      <c r="L144" s="132"/>
    </row>
    <row r="145" spans="7:12" ht="20.25" x14ac:dyDescent="0.25">
      <c r="G145" s="14"/>
      <c r="H145" s="23"/>
      <c r="I145" s="132"/>
      <c r="J145" s="132"/>
      <c r="K145" s="132"/>
      <c r="L145" s="132"/>
    </row>
    <row r="146" spans="7:12" ht="20.25" x14ac:dyDescent="0.25">
      <c r="G146" s="14"/>
      <c r="H146" s="23"/>
      <c r="I146" s="132"/>
      <c r="J146" s="132"/>
      <c r="K146" s="132"/>
      <c r="L146" s="132"/>
    </row>
    <row r="147" spans="7:12" ht="20.25" x14ac:dyDescent="0.25">
      <c r="G147" s="14"/>
      <c r="H147" s="23"/>
      <c r="I147" s="132"/>
      <c r="J147" s="132"/>
      <c r="K147" s="132"/>
      <c r="L147" s="132"/>
    </row>
    <row r="148" spans="7:12" ht="20.25" x14ac:dyDescent="0.25">
      <c r="G148" s="14"/>
      <c r="H148" s="23"/>
      <c r="I148" s="132"/>
      <c r="J148" s="132"/>
      <c r="K148" s="132"/>
      <c r="L148" s="132"/>
    </row>
    <row r="149" spans="7:12" ht="20.25" x14ac:dyDescent="0.25">
      <c r="G149" s="14"/>
      <c r="H149" s="23"/>
      <c r="I149" s="132"/>
      <c r="J149" s="132"/>
      <c r="K149" s="132"/>
      <c r="L149" s="132"/>
    </row>
    <row r="150" spans="7:12" ht="20.25" x14ac:dyDescent="0.25">
      <c r="G150" s="14"/>
      <c r="H150" s="23"/>
      <c r="I150" s="132"/>
      <c r="J150" s="132"/>
      <c r="K150" s="132"/>
      <c r="L150" s="132"/>
    </row>
    <row r="151" spans="7:12" ht="20.25" x14ac:dyDescent="0.25">
      <c r="G151" s="14"/>
      <c r="H151" s="23"/>
      <c r="I151" s="132"/>
      <c r="J151" s="132"/>
      <c r="K151" s="132"/>
      <c r="L151" s="132"/>
    </row>
    <row r="152" spans="7:12" ht="20.25" x14ac:dyDescent="0.25">
      <c r="G152" s="14"/>
      <c r="H152" s="23"/>
      <c r="I152" s="132"/>
      <c r="J152" s="132"/>
      <c r="K152" s="132"/>
      <c r="L152" s="132"/>
    </row>
    <row r="153" spans="7:12" ht="20.25" x14ac:dyDescent="0.25">
      <c r="G153" s="14"/>
      <c r="H153" s="23"/>
      <c r="I153" s="132"/>
      <c r="J153" s="132"/>
      <c r="K153" s="132"/>
      <c r="L153" s="132"/>
    </row>
    <row r="154" spans="7:12" ht="20.25" x14ac:dyDescent="0.25">
      <c r="G154" s="14"/>
      <c r="H154" s="23"/>
      <c r="I154" s="132"/>
      <c r="J154" s="132"/>
      <c r="K154" s="132"/>
      <c r="L154" s="132"/>
    </row>
    <row r="155" spans="7:12" ht="20.25" x14ac:dyDescent="0.25">
      <c r="G155" s="14"/>
      <c r="H155" s="23"/>
      <c r="I155" s="132"/>
      <c r="J155" s="132"/>
      <c r="K155" s="132"/>
      <c r="L155" s="132"/>
    </row>
    <row r="156" spans="7:12" ht="20.25" x14ac:dyDescent="0.25">
      <c r="G156" s="14"/>
      <c r="H156" s="23"/>
      <c r="I156" s="132"/>
      <c r="J156" s="132"/>
      <c r="K156" s="132"/>
      <c r="L156" s="132"/>
    </row>
    <row r="157" spans="7:12" ht="20.25" x14ac:dyDescent="0.25">
      <c r="G157" s="14"/>
      <c r="H157" s="23"/>
      <c r="I157" s="132"/>
      <c r="J157" s="132"/>
      <c r="K157" s="132"/>
      <c r="L157" s="132"/>
    </row>
    <row r="158" spans="7:12" ht="20.25" x14ac:dyDescent="0.25">
      <c r="G158" s="14"/>
      <c r="H158" s="23"/>
      <c r="I158" s="132"/>
      <c r="J158" s="132"/>
      <c r="K158" s="132"/>
      <c r="L158" s="132"/>
    </row>
    <row r="159" spans="7:12" ht="20.25" x14ac:dyDescent="0.25">
      <c r="G159" s="14"/>
      <c r="H159" s="23"/>
      <c r="I159" s="132"/>
      <c r="J159" s="132"/>
      <c r="K159" s="132"/>
      <c r="L159" s="132"/>
    </row>
    <row r="160" spans="7:12" ht="20.25" x14ac:dyDescent="0.25">
      <c r="G160" s="14"/>
      <c r="H160" s="23"/>
      <c r="I160" s="132"/>
      <c r="J160" s="132"/>
      <c r="K160" s="132"/>
      <c r="L160" s="132"/>
    </row>
    <row r="161" spans="7:12" ht="20.25" x14ac:dyDescent="0.25">
      <c r="G161" s="14"/>
      <c r="H161" s="23"/>
      <c r="I161" s="132"/>
      <c r="J161" s="132"/>
      <c r="K161" s="132"/>
      <c r="L161" s="132"/>
    </row>
    <row r="162" spans="7:12" ht="20.25" x14ac:dyDescent="0.25">
      <c r="G162" s="14"/>
      <c r="H162" s="23"/>
      <c r="I162" s="132"/>
      <c r="J162" s="132"/>
      <c r="K162" s="132"/>
      <c r="L162" s="132"/>
    </row>
    <row r="163" spans="7:12" ht="20.25" x14ac:dyDescent="0.25">
      <c r="G163" s="14"/>
      <c r="H163" s="23"/>
      <c r="I163" s="132"/>
      <c r="J163" s="132"/>
      <c r="K163" s="132"/>
      <c r="L163" s="132"/>
    </row>
    <row r="164" spans="7:12" ht="20.25" x14ac:dyDescent="0.25">
      <c r="G164" s="14"/>
      <c r="H164" s="23"/>
      <c r="I164" s="132"/>
      <c r="J164" s="132"/>
      <c r="K164" s="132"/>
      <c r="L164" s="132"/>
    </row>
    <row r="165" spans="7:12" ht="20.25" x14ac:dyDescent="0.25">
      <c r="G165" s="14"/>
      <c r="H165" s="23"/>
      <c r="I165" s="132"/>
      <c r="J165" s="132"/>
      <c r="K165" s="132"/>
      <c r="L165" s="132"/>
    </row>
    <row r="166" spans="7:12" ht="20.25" x14ac:dyDescent="0.25">
      <c r="G166" s="14"/>
      <c r="H166" s="23"/>
      <c r="I166" s="132"/>
      <c r="J166" s="132"/>
      <c r="K166" s="132"/>
      <c r="L166" s="132"/>
    </row>
    <row r="167" spans="7:12" ht="20.25" x14ac:dyDescent="0.25">
      <c r="G167" s="14"/>
      <c r="H167" s="23"/>
      <c r="I167" s="132"/>
      <c r="J167" s="132"/>
      <c r="K167" s="132"/>
      <c r="L167" s="132"/>
    </row>
    <row r="168" spans="7:12" ht="20.25" x14ac:dyDescent="0.25">
      <c r="G168" s="14"/>
      <c r="H168" s="23"/>
      <c r="I168" s="132"/>
      <c r="J168" s="132"/>
      <c r="K168" s="132"/>
      <c r="L168" s="132"/>
    </row>
    <row r="169" spans="7:12" ht="20.25" x14ac:dyDescent="0.25">
      <c r="G169" s="14"/>
      <c r="H169" s="23"/>
      <c r="I169" s="132"/>
      <c r="J169" s="132"/>
      <c r="K169" s="132"/>
      <c r="L169" s="132"/>
    </row>
    <row r="170" spans="7:12" ht="20.25" x14ac:dyDescent="0.25">
      <c r="G170" s="14"/>
      <c r="H170" s="23"/>
      <c r="I170" s="132"/>
      <c r="J170" s="132"/>
      <c r="K170" s="132"/>
      <c r="L170" s="132"/>
    </row>
    <row r="171" spans="7:12" ht="20.25" x14ac:dyDescent="0.25">
      <c r="G171" s="14"/>
      <c r="H171" s="23"/>
      <c r="I171" s="132"/>
      <c r="J171" s="132"/>
      <c r="K171" s="132"/>
      <c r="L171" s="132"/>
    </row>
    <row r="172" spans="7:12" ht="20.25" x14ac:dyDescent="0.25">
      <c r="G172" s="14"/>
      <c r="H172" s="23"/>
      <c r="I172" s="132"/>
      <c r="J172" s="132"/>
      <c r="K172" s="132"/>
      <c r="L172" s="132"/>
    </row>
    <row r="173" spans="7:12" ht="20.25" x14ac:dyDescent="0.25">
      <c r="G173" s="14"/>
      <c r="H173" s="23"/>
      <c r="I173" s="132"/>
      <c r="J173" s="132"/>
      <c r="K173" s="132"/>
      <c r="L173" s="132"/>
    </row>
    <row r="174" spans="7:12" ht="20.25" x14ac:dyDescent="0.25">
      <c r="G174" s="14"/>
      <c r="H174" s="23"/>
      <c r="I174" s="132"/>
      <c r="J174" s="132"/>
      <c r="K174" s="132"/>
      <c r="L174" s="132"/>
    </row>
    <row r="175" spans="7:12" ht="20.25" x14ac:dyDescent="0.25">
      <c r="G175" s="14"/>
      <c r="H175" s="23"/>
      <c r="I175" s="132"/>
      <c r="J175" s="132"/>
      <c r="K175" s="132"/>
      <c r="L175" s="132"/>
    </row>
    <row r="176" spans="7:12" ht="20.25" x14ac:dyDescent="0.25">
      <c r="G176" s="14"/>
      <c r="H176" s="23"/>
      <c r="I176" s="132"/>
      <c r="J176" s="132"/>
      <c r="K176" s="132"/>
      <c r="L176" s="132"/>
    </row>
    <row r="177" spans="7:12" ht="20.25" x14ac:dyDescent="0.25">
      <c r="G177" s="14"/>
      <c r="H177" s="23"/>
      <c r="I177" s="132"/>
      <c r="J177" s="132"/>
      <c r="K177" s="132"/>
      <c r="L177" s="132"/>
    </row>
    <row r="178" spans="7:12" ht="20.25" x14ac:dyDescent="0.25">
      <c r="G178" s="14"/>
      <c r="H178" s="23"/>
      <c r="I178" s="132"/>
      <c r="J178" s="132"/>
      <c r="K178" s="132"/>
      <c r="L178" s="132"/>
    </row>
    <row r="179" spans="7:12" ht="20.25" x14ac:dyDescent="0.25">
      <c r="G179" s="14"/>
      <c r="H179" s="23"/>
      <c r="I179" s="132"/>
      <c r="J179" s="132"/>
      <c r="K179" s="132"/>
      <c r="L179" s="132"/>
    </row>
    <row r="180" spans="7:12" ht="20.25" x14ac:dyDescent="0.25">
      <c r="G180" s="14"/>
      <c r="H180" s="23"/>
      <c r="I180" s="132"/>
      <c r="J180" s="132"/>
      <c r="K180" s="132"/>
      <c r="L180" s="132"/>
    </row>
    <row r="181" spans="7:12" ht="20.25" x14ac:dyDescent="0.25">
      <c r="G181" s="14"/>
      <c r="H181" s="23"/>
      <c r="I181" s="132"/>
      <c r="J181" s="132"/>
      <c r="K181" s="132"/>
      <c r="L181" s="132"/>
    </row>
    <row r="182" spans="7:12" ht="20.25" x14ac:dyDescent="0.25">
      <c r="G182" s="14"/>
      <c r="H182" s="23"/>
      <c r="I182" s="132"/>
      <c r="J182" s="132"/>
      <c r="K182" s="132"/>
      <c r="L182" s="132"/>
    </row>
    <row r="183" spans="7:12" ht="20.25" x14ac:dyDescent="0.25">
      <c r="G183" s="14"/>
      <c r="H183" s="23"/>
      <c r="I183" s="132"/>
      <c r="J183" s="132"/>
      <c r="K183" s="132"/>
      <c r="L183" s="132"/>
    </row>
    <row r="184" spans="7:12" ht="20.25" x14ac:dyDescent="0.25">
      <c r="G184" s="14"/>
      <c r="H184" s="23"/>
      <c r="I184" s="132"/>
      <c r="J184" s="132"/>
      <c r="K184" s="132"/>
      <c r="L184" s="132"/>
    </row>
    <row r="185" spans="7:12" ht="20.25" x14ac:dyDescent="0.25">
      <c r="G185" s="14"/>
      <c r="H185" s="23"/>
      <c r="I185" s="132"/>
      <c r="J185" s="132"/>
      <c r="K185" s="132"/>
      <c r="L185" s="132"/>
    </row>
    <row r="186" spans="7:12" ht="20.25" x14ac:dyDescent="0.25">
      <c r="G186" s="14"/>
      <c r="H186" s="23"/>
      <c r="I186" s="132"/>
      <c r="J186" s="132"/>
      <c r="K186" s="132"/>
      <c r="L186" s="132"/>
    </row>
    <row r="187" spans="7:12" ht="20.25" x14ac:dyDescent="0.25">
      <c r="G187" s="14"/>
      <c r="H187" s="23"/>
      <c r="I187" s="132"/>
      <c r="J187" s="132"/>
      <c r="K187" s="132"/>
      <c r="L187" s="132"/>
    </row>
    <row r="188" spans="7:12" ht="20.25" x14ac:dyDescent="0.25">
      <c r="G188" s="14"/>
      <c r="H188" s="23"/>
      <c r="I188" s="132"/>
      <c r="J188" s="132"/>
      <c r="K188" s="132"/>
      <c r="L188" s="132"/>
    </row>
    <row r="189" spans="7:12" ht="20.25" x14ac:dyDescent="0.25">
      <c r="G189" s="14"/>
      <c r="H189" s="23"/>
      <c r="I189" s="132"/>
      <c r="J189" s="132"/>
      <c r="K189" s="132"/>
      <c r="L189" s="132"/>
    </row>
    <row r="190" spans="7:12" ht="20.25" x14ac:dyDescent="0.25">
      <c r="G190" s="14"/>
      <c r="H190" s="23"/>
      <c r="I190" s="132"/>
      <c r="J190" s="132"/>
      <c r="K190" s="132"/>
      <c r="L190" s="132"/>
    </row>
    <row r="191" spans="7:12" ht="20.25" x14ac:dyDescent="0.25">
      <c r="G191" s="14"/>
      <c r="H191" s="23"/>
      <c r="I191" s="132"/>
      <c r="J191" s="132"/>
      <c r="K191" s="132"/>
      <c r="L191" s="132"/>
    </row>
    <row r="192" spans="7:12" ht="20.25" x14ac:dyDescent="0.25">
      <c r="G192" s="14"/>
      <c r="H192" s="23"/>
      <c r="I192" s="132"/>
      <c r="J192" s="132"/>
      <c r="K192" s="132"/>
      <c r="L192" s="132"/>
    </row>
    <row r="193" spans="7:12" ht="20.25" x14ac:dyDescent="0.25">
      <c r="G193" s="14"/>
      <c r="H193" s="23"/>
      <c r="I193" s="132"/>
      <c r="J193" s="132"/>
      <c r="K193" s="132"/>
      <c r="L193" s="132"/>
    </row>
    <row r="194" spans="7:12" ht="20.25" x14ac:dyDescent="0.25">
      <c r="G194" s="14"/>
      <c r="H194" s="23"/>
      <c r="I194" s="132"/>
      <c r="J194" s="132"/>
      <c r="K194" s="132"/>
      <c r="L194" s="132"/>
    </row>
    <row r="195" spans="7:12" ht="20.25" x14ac:dyDescent="0.25">
      <c r="G195" s="14"/>
      <c r="H195" s="23"/>
      <c r="I195" s="132"/>
      <c r="J195" s="132"/>
      <c r="K195" s="132"/>
      <c r="L195" s="132"/>
    </row>
    <row r="196" spans="7:12" ht="20.25" x14ac:dyDescent="0.25">
      <c r="G196" s="14"/>
      <c r="H196" s="23"/>
      <c r="I196" s="132"/>
      <c r="J196" s="132"/>
      <c r="K196" s="132"/>
      <c r="L196" s="132"/>
    </row>
    <row r="197" spans="7:12" ht="20.25" x14ac:dyDescent="0.25">
      <c r="G197" s="14"/>
      <c r="H197" s="23"/>
      <c r="I197" s="132"/>
      <c r="J197" s="132"/>
      <c r="K197" s="132"/>
      <c r="L197" s="132"/>
    </row>
    <row r="198" spans="7:12" ht="20.25" x14ac:dyDescent="0.25">
      <c r="G198" s="14"/>
      <c r="H198" s="23"/>
      <c r="I198" s="132"/>
      <c r="J198" s="132"/>
      <c r="K198" s="132"/>
      <c r="L198" s="132"/>
    </row>
    <row r="199" spans="7:12" ht="20.25" x14ac:dyDescent="0.25">
      <c r="G199" s="14"/>
      <c r="H199" s="23"/>
      <c r="I199" s="132"/>
      <c r="J199" s="132"/>
      <c r="K199" s="132"/>
      <c r="L199" s="132"/>
    </row>
    <row r="200" spans="7:12" ht="20.25" x14ac:dyDescent="0.25">
      <c r="G200" s="14"/>
      <c r="H200" s="23"/>
      <c r="I200" s="132"/>
      <c r="J200" s="132"/>
      <c r="K200" s="132"/>
      <c r="L200" s="132"/>
    </row>
    <row r="201" spans="7:12" ht="20.25" x14ac:dyDescent="0.25">
      <c r="G201" s="14"/>
      <c r="H201" s="23"/>
      <c r="I201" s="132"/>
      <c r="J201" s="132"/>
      <c r="K201" s="132"/>
      <c r="L201" s="132"/>
    </row>
    <row r="202" spans="7:12" ht="20.25" x14ac:dyDescent="0.25">
      <c r="G202" s="14"/>
      <c r="H202" s="23"/>
      <c r="I202" s="132"/>
      <c r="J202" s="132"/>
      <c r="K202" s="132"/>
      <c r="L202" s="132"/>
    </row>
    <row r="203" spans="7:12" ht="20.25" x14ac:dyDescent="0.25">
      <c r="G203" s="14"/>
      <c r="H203" s="23"/>
      <c r="I203" s="132"/>
      <c r="J203" s="132"/>
      <c r="K203" s="132"/>
      <c r="L203" s="132"/>
    </row>
    <row r="204" spans="7:12" ht="20.25" x14ac:dyDescent="0.25">
      <c r="G204" s="14"/>
      <c r="H204" s="23"/>
      <c r="I204" s="132"/>
      <c r="J204" s="132"/>
      <c r="K204" s="132"/>
      <c r="L204" s="132"/>
    </row>
    <row r="205" spans="7:12" ht="20.25" x14ac:dyDescent="0.25">
      <c r="G205" s="14"/>
      <c r="H205" s="23"/>
      <c r="I205" s="132"/>
      <c r="J205" s="132"/>
      <c r="K205" s="132"/>
      <c r="L205" s="132"/>
    </row>
    <row r="206" spans="7:12" ht="20.25" x14ac:dyDescent="0.25">
      <c r="G206" s="14"/>
      <c r="H206" s="23"/>
      <c r="I206" s="132"/>
      <c r="J206" s="132"/>
      <c r="K206" s="132"/>
      <c r="L206" s="132"/>
    </row>
    <row r="207" spans="7:12" ht="20.25" x14ac:dyDescent="0.25">
      <c r="G207" s="14"/>
      <c r="H207" s="23"/>
      <c r="I207" s="132"/>
      <c r="J207" s="132"/>
      <c r="K207" s="132"/>
      <c r="L207" s="132"/>
    </row>
    <row r="208" spans="7:12" ht="20.25" x14ac:dyDescent="0.25">
      <c r="G208" s="14"/>
      <c r="H208" s="23"/>
      <c r="I208" s="132"/>
      <c r="J208" s="132"/>
      <c r="K208" s="132"/>
      <c r="L208" s="132"/>
    </row>
    <row r="209" spans="7:12" ht="20.25" x14ac:dyDescent="0.25">
      <c r="G209" s="14"/>
      <c r="H209" s="23"/>
      <c r="I209" s="132"/>
      <c r="J209" s="132"/>
      <c r="K209" s="132"/>
      <c r="L209" s="132"/>
    </row>
    <row r="210" spans="7:12" ht="20.25" x14ac:dyDescent="0.25">
      <c r="G210" s="14"/>
      <c r="H210" s="23"/>
      <c r="I210" s="132"/>
      <c r="J210" s="132"/>
      <c r="K210" s="132"/>
      <c r="L210" s="132"/>
    </row>
    <row r="211" spans="7:12" ht="20.25" x14ac:dyDescent="0.25">
      <c r="G211" s="14"/>
      <c r="H211" s="23"/>
      <c r="I211" s="132"/>
      <c r="J211" s="132"/>
      <c r="K211" s="132"/>
      <c r="L211" s="132"/>
    </row>
    <row r="212" spans="7:12" ht="20.25" x14ac:dyDescent="0.25">
      <c r="G212" s="14"/>
      <c r="H212" s="23"/>
      <c r="I212" s="132"/>
      <c r="J212" s="132"/>
      <c r="K212" s="132"/>
      <c r="L212" s="132"/>
    </row>
    <row r="213" spans="7:12" ht="20.25" x14ac:dyDescent="0.25">
      <c r="G213" s="14"/>
      <c r="H213" s="23"/>
      <c r="I213" s="132"/>
      <c r="J213" s="132"/>
      <c r="K213" s="132"/>
      <c r="L213" s="132"/>
    </row>
    <row r="214" spans="7:12" ht="20.25" x14ac:dyDescent="0.25">
      <c r="G214" s="14"/>
      <c r="H214" s="23"/>
      <c r="I214" s="132"/>
      <c r="J214" s="132"/>
      <c r="K214" s="132"/>
      <c r="L214" s="132"/>
    </row>
    <row r="215" spans="7:12" ht="20.25" x14ac:dyDescent="0.25">
      <c r="G215" s="14"/>
      <c r="H215" s="23"/>
      <c r="I215" s="132"/>
      <c r="J215" s="132"/>
      <c r="K215" s="132"/>
      <c r="L215" s="132"/>
    </row>
    <row r="216" spans="7:12" ht="20.25" x14ac:dyDescent="0.25">
      <c r="G216" s="14"/>
      <c r="H216" s="23"/>
      <c r="I216" s="132"/>
      <c r="J216" s="132"/>
      <c r="K216" s="132"/>
      <c r="L216" s="132"/>
    </row>
    <row r="217" spans="7:12" ht="20.25" x14ac:dyDescent="0.25">
      <c r="G217" s="14"/>
      <c r="H217" s="23"/>
      <c r="I217" s="132"/>
      <c r="J217" s="132"/>
      <c r="K217" s="132"/>
      <c r="L217" s="132"/>
    </row>
    <row r="218" spans="7:12" ht="20.25" x14ac:dyDescent="0.25">
      <c r="G218" s="14"/>
      <c r="H218" s="23"/>
      <c r="I218" s="132"/>
      <c r="J218" s="132"/>
      <c r="K218" s="132"/>
      <c r="L218" s="132"/>
    </row>
    <row r="219" spans="7:12" ht="20.25" x14ac:dyDescent="0.25">
      <c r="G219" s="14"/>
      <c r="H219" s="23"/>
      <c r="I219" s="132"/>
      <c r="J219" s="132"/>
      <c r="K219" s="132"/>
      <c r="L219" s="132"/>
    </row>
    <row r="220" spans="7:12" ht="20.25" x14ac:dyDescent="0.25">
      <c r="G220" s="14"/>
      <c r="H220" s="23"/>
      <c r="I220" s="132"/>
      <c r="J220" s="132"/>
      <c r="K220" s="132"/>
      <c r="L220" s="132"/>
    </row>
    <row r="221" spans="7:12" ht="20.25" x14ac:dyDescent="0.25">
      <c r="G221" s="14"/>
      <c r="H221" s="23"/>
      <c r="I221" s="132"/>
      <c r="J221" s="132"/>
      <c r="K221" s="132"/>
      <c r="L221" s="132"/>
    </row>
    <row r="222" spans="7:12" ht="20.25" x14ac:dyDescent="0.25">
      <c r="G222" s="14"/>
      <c r="H222" s="23"/>
      <c r="I222" s="132"/>
      <c r="J222" s="132"/>
      <c r="K222" s="132"/>
      <c r="L222" s="132"/>
    </row>
    <row r="223" spans="7:12" ht="20.25" x14ac:dyDescent="0.25">
      <c r="G223" s="14"/>
      <c r="H223" s="23"/>
      <c r="I223" s="132"/>
      <c r="J223" s="132"/>
      <c r="K223" s="132"/>
      <c r="L223" s="132"/>
    </row>
    <row r="224" spans="7:12" ht="20.25" x14ac:dyDescent="0.25">
      <c r="G224" s="14"/>
      <c r="H224" s="23"/>
      <c r="I224" s="132"/>
      <c r="J224" s="132"/>
      <c r="K224" s="132"/>
      <c r="L224" s="132"/>
    </row>
    <row r="225" spans="7:12" ht="20.25" x14ac:dyDescent="0.25">
      <c r="G225" s="14"/>
      <c r="H225" s="23"/>
      <c r="I225" s="132"/>
      <c r="J225" s="132"/>
      <c r="K225" s="132"/>
      <c r="L225" s="132"/>
    </row>
    <row r="226" spans="7:12" ht="20.25" x14ac:dyDescent="0.25">
      <c r="G226" s="14"/>
      <c r="H226" s="23"/>
      <c r="I226" s="132"/>
      <c r="J226" s="132"/>
      <c r="K226" s="132"/>
      <c r="L226" s="132"/>
    </row>
    <row r="227" spans="7:12" ht="20.25" x14ac:dyDescent="0.25">
      <c r="G227" s="14"/>
      <c r="H227" s="23"/>
      <c r="I227" s="132"/>
      <c r="J227" s="132"/>
      <c r="K227" s="132"/>
      <c r="L227" s="132"/>
    </row>
    <row r="228" spans="7:12" ht="20.25" x14ac:dyDescent="0.25">
      <c r="G228" s="14"/>
      <c r="H228" s="23"/>
      <c r="I228" s="132"/>
      <c r="J228" s="132"/>
      <c r="K228" s="132"/>
      <c r="L228" s="132"/>
    </row>
    <row r="229" spans="7:12" ht="20.25" x14ac:dyDescent="0.25">
      <c r="G229" s="14"/>
      <c r="H229" s="23"/>
      <c r="I229" s="132"/>
      <c r="J229" s="132"/>
      <c r="K229" s="132"/>
      <c r="L229" s="132"/>
    </row>
    <row r="230" spans="7:12" ht="20.25" x14ac:dyDescent="0.25">
      <c r="G230" s="14"/>
      <c r="H230" s="23"/>
      <c r="I230" s="132"/>
      <c r="J230" s="132"/>
      <c r="K230" s="132"/>
      <c r="L230" s="132"/>
    </row>
    <row r="231" spans="7:12" ht="20.25" x14ac:dyDescent="0.25">
      <c r="G231" s="14"/>
      <c r="H231" s="23"/>
      <c r="I231" s="132"/>
      <c r="J231" s="132"/>
      <c r="K231" s="132"/>
      <c r="L231" s="132"/>
    </row>
    <row r="232" spans="7:12" ht="20.25" x14ac:dyDescent="0.25">
      <c r="G232" s="14"/>
      <c r="H232" s="23"/>
      <c r="I232" s="132"/>
      <c r="J232" s="132"/>
      <c r="K232" s="132"/>
      <c r="L232" s="132"/>
    </row>
    <row r="233" spans="7:12" ht="20.25" x14ac:dyDescent="0.25">
      <c r="G233" s="14"/>
      <c r="H233" s="23"/>
      <c r="I233" s="132"/>
      <c r="J233" s="132"/>
      <c r="K233" s="132"/>
      <c r="L233" s="132"/>
    </row>
    <row r="234" spans="7:12" ht="20.25" x14ac:dyDescent="0.25">
      <c r="G234" s="14"/>
      <c r="H234" s="23"/>
      <c r="I234" s="132"/>
      <c r="J234" s="132"/>
      <c r="K234" s="132"/>
      <c r="L234" s="132"/>
    </row>
    <row r="235" spans="7:12" ht="20.25" x14ac:dyDescent="0.25">
      <c r="G235" s="14"/>
      <c r="H235" s="23"/>
      <c r="I235" s="132"/>
      <c r="J235" s="132"/>
      <c r="K235" s="132"/>
      <c r="L235" s="132"/>
    </row>
    <row r="236" spans="7:12" ht="20.25" x14ac:dyDescent="0.25">
      <c r="G236" s="14"/>
      <c r="H236" s="23"/>
      <c r="I236" s="132"/>
      <c r="J236" s="132"/>
      <c r="K236" s="132"/>
      <c r="L236" s="132"/>
    </row>
    <row r="237" spans="7:12" ht="20.25" x14ac:dyDescent="0.25">
      <c r="G237" s="14"/>
      <c r="H237" s="23"/>
      <c r="I237" s="132"/>
      <c r="J237" s="132"/>
      <c r="K237" s="132"/>
      <c r="L237" s="132"/>
    </row>
    <row r="238" spans="7:12" ht="20.25" x14ac:dyDescent="0.25">
      <c r="G238" s="14"/>
      <c r="H238" s="23"/>
      <c r="I238" s="132"/>
      <c r="J238" s="132"/>
      <c r="K238" s="132"/>
      <c r="L238" s="132"/>
    </row>
    <row r="239" spans="7:12" ht="20.25" x14ac:dyDescent="0.25">
      <c r="G239" s="14"/>
      <c r="H239" s="23"/>
      <c r="I239" s="132"/>
      <c r="J239" s="132"/>
      <c r="K239" s="132"/>
      <c r="L239" s="132"/>
    </row>
    <row r="240" spans="7:12" ht="20.25" x14ac:dyDescent="0.25">
      <c r="G240" s="14"/>
      <c r="H240" s="23"/>
      <c r="I240" s="132"/>
      <c r="J240" s="132"/>
      <c r="K240" s="132"/>
      <c r="L240" s="132"/>
    </row>
    <row r="241" spans="7:12" ht="20.25" x14ac:dyDescent="0.25">
      <c r="G241" s="14"/>
      <c r="H241" s="23"/>
      <c r="I241" s="132"/>
      <c r="J241" s="132"/>
      <c r="K241" s="132"/>
      <c r="L241" s="132"/>
    </row>
    <row r="242" spans="7:12" ht="20.25" x14ac:dyDescent="0.25">
      <c r="G242" s="14"/>
      <c r="H242" s="23"/>
      <c r="I242" s="132"/>
      <c r="J242" s="132"/>
      <c r="K242" s="132"/>
      <c r="L242" s="132"/>
    </row>
    <row r="243" spans="7:12" ht="20.25" x14ac:dyDescent="0.25">
      <c r="G243" s="14"/>
      <c r="H243" s="23"/>
      <c r="I243" s="132"/>
      <c r="J243" s="132"/>
      <c r="K243" s="132"/>
      <c r="L243" s="132"/>
    </row>
    <row r="244" spans="7:12" ht="20.25" x14ac:dyDescent="0.25">
      <c r="G244" s="14"/>
      <c r="H244" s="23"/>
      <c r="I244" s="132"/>
      <c r="J244" s="132"/>
      <c r="K244" s="132"/>
      <c r="L244" s="132"/>
    </row>
    <row r="245" spans="7:12" ht="20.25" x14ac:dyDescent="0.25">
      <c r="G245" s="14"/>
      <c r="H245" s="23"/>
      <c r="I245" s="132"/>
      <c r="J245" s="132"/>
      <c r="K245" s="132"/>
      <c r="L245" s="132"/>
    </row>
    <row r="246" spans="7:12" ht="20.25" x14ac:dyDescent="0.25">
      <c r="G246" s="14"/>
      <c r="H246" s="23"/>
      <c r="I246" s="132"/>
      <c r="J246" s="132"/>
      <c r="K246" s="132"/>
      <c r="L246" s="132"/>
    </row>
    <row r="247" spans="7:12" ht="20.25" x14ac:dyDescent="0.25">
      <c r="G247" s="14"/>
      <c r="H247" s="23"/>
      <c r="I247" s="132"/>
      <c r="J247" s="132"/>
      <c r="K247" s="132"/>
      <c r="L247" s="132"/>
    </row>
    <row r="248" spans="7:12" ht="20.25" x14ac:dyDescent="0.25">
      <c r="G248" s="14"/>
      <c r="H248" s="23"/>
      <c r="I248" s="132"/>
      <c r="J248" s="132"/>
      <c r="K248" s="132"/>
      <c r="L248" s="132"/>
    </row>
    <row r="249" spans="7:12" ht="20.25" x14ac:dyDescent="0.25">
      <c r="G249" s="14"/>
      <c r="H249" s="23"/>
      <c r="I249" s="132"/>
      <c r="J249" s="132"/>
      <c r="K249" s="132"/>
      <c r="L249" s="132"/>
    </row>
    <row r="250" spans="7:12" ht="20.25" x14ac:dyDescent="0.25">
      <c r="G250" s="14"/>
      <c r="H250" s="23"/>
      <c r="I250" s="132"/>
      <c r="J250" s="132"/>
      <c r="K250" s="132"/>
      <c r="L250" s="132"/>
    </row>
    <row r="251" spans="7:12" ht="20.25" x14ac:dyDescent="0.25">
      <c r="G251" s="14"/>
      <c r="H251" s="23"/>
      <c r="I251" s="132"/>
      <c r="J251" s="132"/>
      <c r="K251" s="132"/>
      <c r="L251" s="132"/>
    </row>
    <row r="252" spans="7:12" ht="20.25" x14ac:dyDescent="0.25">
      <c r="G252" s="14"/>
      <c r="H252" s="23"/>
      <c r="I252" s="132"/>
      <c r="J252" s="132"/>
      <c r="K252" s="132"/>
      <c r="L252" s="132"/>
    </row>
    <row r="253" spans="7:12" ht="20.25" x14ac:dyDescent="0.25">
      <c r="G253" s="14"/>
      <c r="H253" s="23"/>
      <c r="I253" s="132"/>
      <c r="J253" s="132"/>
      <c r="K253" s="132"/>
      <c r="L253" s="132"/>
    </row>
    <row r="254" spans="7:12" ht="20.25" x14ac:dyDescent="0.25">
      <c r="G254" s="14"/>
      <c r="H254" s="23"/>
      <c r="I254" s="132"/>
      <c r="J254" s="132"/>
      <c r="K254" s="132"/>
      <c r="L254" s="132"/>
    </row>
    <row r="255" spans="7:12" ht="20.25" x14ac:dyDescent="0.25">
      <c r="G255" s="14"/>
      <c r="H255" s="23"/>
      <c r="I255" s="132"/>
      <c r="J255" s="132"/>
      <c r="K255" s="132"/>
      <c r="L255" s="132"/>
    </row>
    <row r="256" spans="7:12" ht="20.25" x14ac:dyDescent="0.25">
      <c r="G256" s="14"/>
      <c r="H256" s="23"/>
      <c r="I256" s="132"/>
      <c r="J256" s="132"/>
      <c r="K256" s="132"/>
      <c r="L256" s="132"/>
    </row>
    <row r="257" spans="7:12" ht="20.25" x14ac:dyDescent="0.25">
      <c r="G257" s="14"/>
      <c r="H257" s="23"/>
      <c r="I257" s="132"/>
      <c r="J257" s="132"/>
      <c r="K257" s="132"/>
      <c r="L257" s="132"/>
    </row>
    <row r="258" spans="7:12" ht="20.25" x14ac:dyDescent="0.25">
      <c r="G258" s="14"/>
      <c r="H258" s="23"/>
      <c r="I258" s="132"/>
      <c r="J258" s="132"/>
      <c r="K258" s="132"/>
      <c r="L258" s="132"/>
    </row>
    <row r="259" spans="7:12" ht="20.25" x14ac:dyDescent="0.25">
      <c r="G259" s="14"/>
      <c r="H259" s="23"/>
      <c r="I259" s="132"/>
      <c r="J259" s="132"/>
      <c r="K259" s="132"/>
      <c r="L259" s="132"/>
    </row>
    <row r="260" spans="7:12" ht="20.25" x14ac:dyDescent="0.25">
      <c r="G260" s="14"/>
      <c r="H260" s="23"/>
      <c r="I260" s="132"/>
      <c r="J260" s="132"/>
      <c r="K260" s="132"/>
      <c r="L260" s="132"/>
    </row>
    <row r="261" spans="7:12" ht="20.25" x14ac:dyDescent="0.25">
      <c r="G261" s="14"/>
      <c r="H261" s="23"/>
      <c r="I261" s="132"/>
      <c r="J261" s="132"/>
      <c r="K261" s="132"/>
      <c r="L261" s="132"/>
    </row>
    <row r="262" spans="7:12" ht="20.25" x14ac:dyDescent="0.25">
      <c r="G262" s="14"/>
      <c r="H262" s="23"/>
      <c r="I262" s="132"/>
      <c r="J262" s="132"/>
      <c r="K262" s="132"/>
      <c r="L262" s="132"/>
    </row>
    <row r="263" spans="7:12" ht="20.25" x14ac:dyDescent="0.25">
      <c r="G263" s="14"/>
      <c r="H263" s="23"/>
      <c r="I263" s="132"/>
      <c r="J263" s="132"/>
      <c r="K263" s="132"/>
      <c r="L263" s="132"/>
    </row>
    <row r="264" spans="7:12" ht="20.25" x14ac:dyDescent="0.25">
      <c r="G264" s="14"/>
      <c r="H264" s="23"/>
      <c r="I264" s="132"/>
      <c r="J264" s="132"/>
      <c r="K264" s="132"/>
      <c r="L264" s="132"/>
    </row>
    <row r="265" spans="7:12" ht="20.25" x14ac:dyDescent="0.25">
      <c r="G265" s="14"/>
      <c r="H265" s="23"/>
      <c r="I265" s="132"/>
      <c r="J265" s="132"/>
      <c r="K265" s="132"/>
      <c r="L265" s="132"/>
    </row>
    <row r="266" spans="7:12" ht="20.25" x14ac:dyDescent="0.25">
      <c r="G266" s="14"/>
      <c r="H266" s="23"/>
      <c r="I266" s="132"/>
      <c r="J266" s="132"/>
      <c r="K266" s="132"/>
      <c r="L266" s="132"/>
    </row>
    <row r="267" spans="7:12" ht="20.25" x14ac:dyDescent="0.25">
      <c r="G267" s="14"/>
      <c r="H267" s="23"/>
      <c r="I267" s="132"/>
      <c r="J267" s="132"/>
      <c r="K267" s="132"/>
      <c r="L267" s="132"/>
    </row>
    <row r="268" spans="7:12" ht="20.25" x14ac:dyDescent="0.25">
      <c r="G268" s="14"/>
      <c r="H268" s="23"/>
      <c r="I268" s="132"/>
      <c r="J268" s="132"/>
      <c r="K268" s="132"/>
      <c r="L268" s="132"/>
    </row>
    <row r="269" spans="7:12" ht="20.25" x14ac:dyDescent="0.25">
      <c r="G269" s="14"/>
      <c r="H269" s="23"/>
      <c r="I269" s="132"/>
      <c r="J269" s="132"/>
      <c r="K269" s="132"/>
      <c r="L269" s="132"/>
    </row>
    <row r="270" spans="7:12" ht="20.25" x14ac:dyDescent="0.25">
      <c r="G270" s="14"/>
      <c r="H270" s="23"/>
      <c r="I270" s="132"/>
      <c r="J270" s="132"/>
      <c r="K270" s="132"/>
      <c r="L270" s="132"/>
    </row>
    <row r="271" spans="7:12" ht="20.25" x14ac:dyDescent="0.25">
      <c r="G271" s="14"/>
      <c r="H271" s="23"/>
      <c r="I271" s="132"/>
      <c r="J271" s="132"/>
      <c r="K271" s="132"/>
      <c r="L271" s="132"/>
    </row>
    <row r="272" spans="7:12" ht="20.25" x14ac:dyDescent="0.25">
      <c r="G272" s="14"/>
      <c r="H272" s="23"/>
      <c r="I272" s="132"/>
      <c r="J272" s="132"/>
      <c r="K272" s="132"/>
      <c r="L272" s="132"/>
    </row>
    <row r="273" spans="7:12" ht="20.25" x14ac:dyDescent="0.25">
      <c r="G273" s="14"/>
      <c r="H273" s="23"/>
      <c r="I273" s="132"/>
      <c r="J273" s="132"/>
      <c r="K273" s="132"/>
      <c r="L273" s="132"/>
    </row>
    <row r="274" spans="7:12" ht="20.25" x14ac:dyDescent="0.25">
      <c r="G274" s="14"/>
      <c r="H274" s="23"/>
      <c r="I274" s="132"/>
      <c r="J274" s="132"/>
      <c r="K274" s="132"/>
      <c r="L274" s="132"/>
    </row>
    <row r="275" spans="7:12" ht="20.25" x14ac:dyDescent="0.25">
      <c r="G275" s="14"/>
      <c r="H275" s="23"/>
      <c r="I275" s="132"/>
      <c r="J275" s="132"/>
      <c r="K275" s="132"/>
      <c r="L275" s="132"/>
    </row>
    <row r="276" spans="7:12" ht="20.25" x14ac:dyDescent="0.25">
      <c r="G276" s="14"/>
      <c r="H276" s="23"/>
      <c r="I276" s="132"/>
      <c r="J276" s="132"/>
      <c r="K276" s="132"/>
      <c r="L276" s="132"/>
    </row>
    <row r="277" spans="7:12" ht="20.25" x14ac:dyDescent="0.25">
      <c r="G277" s="14"/>
      <c r="H277" s="23"/>
      <c r="I277" s="132"/>
      <c r="J277" s="132"/>
      <c r="K277" s="132"/>
      <c r="L277" s="132"/>
    </row>
    <row r="278" spans="7:12" ht="20.25" x14ac:dyDescent="0.25">
      <c r="G278" s="14"/>
      <c r="H278" s="23"/>
      <c r="I278" s="132"/>
      <c r="J278" s="132"/>
      <c r="K278" s="132"/>
      <c r="L278" s="132"/>
    </row>
    <row r="279" spans="7:12" ht="20.25" x14ac:dyDescent="0.25">
      <c r="G279" s="14"/>
      <c r="H279" s="23"/>
      <c r="I279" s="132"/>
      <c r="J279" s="132"/>
      <c r="K279" s="132"/>
      <c r="L279" s="132"/>
    </row>
    <row r="280" spans="7:12" ht="20.25" x14ac:dyDescent="0.25">
      <c r="G280" s="14"/>
      <c r="H280" s="23"/>
      <c r="I280" s="132"/>
      <c r="J280" s="132"/>
      <c r="K280" s="132"/>
      <c r="L280" s="132"/>
    </row>
    <row r="281" spans="7:12" ht="20.25" x14ac:dyDescent="0.25">
      <c r="G281" s="14"/>
      <c r="H281" s="23"/>
      <c r="I281" s="132"/>
      <c r="J281" s="132"/>
      <c r="K281" s="132"/>
      <c r="L281" s="132"/>
    </row>
    <row r="282" spans="7:12" ht="20.25" x14ac:dyDescent="0.25">
      <c r="G282" s="14"/>
      <c r="H282" s="23"/>
      <c r="I282" s="132"/>
      <c r="J282" s="132"/>
      <c r="K282" s="132"/>
      <c r="L282" s="132"/>
    </row>
    <row r="283" spans="7:12" ht="20.25" x14ac:dyDescent="0.25">
      <c r="G283" s="14"/>
      <c r="H283" s="23"/>
      <c r="I283" s="132"/>
      <c r="J283" s="132"/>
      <c r="K283" s="132"/>
      <c r="L283" s="132"/>
    </row>
    <row r="284" spans="7:12" ht="20.25" x14ac:dyDescent="0.25">
      <c r="G284" s="14"/>
      <c r="H284" s="23"/>
      <c r="I284" s="132"/>
      <c r="J284" s="132"/>
      <c r="K284" s="132"/>
      <c r="L284" s="132"/>
    </row>
    <row r="285" spans="7:12" ht="20.25" x14ac:dyDescent="0.25">
      <c r="G285" s="14"/>
      <c r="H285" s="23"/>
      <c r="I285" s="132"/>
      <c r="J285" s="132"/>
      <c r="K285" s="132"/>
      <c r="L285" s="132"/>
    </row>
    <row r="286" spans="7:12" ht="20.25" x14ac:dyDescent="0.25">
      <c r="G286" s="14"/>
      <c r="H286" s="23"/>
      <c r="I286" s="132"/>
      <c r="J286" s="132"/>
      <c r="K286" s="132"/>
      <c r="L286" s="132"/>
    </row>
    <row r="287" spans="7:12" ht="20.25" x14ac:dyDescent="0.25">
      <c r="G287" s="14"/>
      <c r="H287" s="23"/>
      <c r="I287" s="132"/>
      <c r="J287" s="132"/>
      <c r="K287" s="132"/>
      <c r="L287" s="132"/>
    </row>
    <row r="288" spans="7:12" ht="20.25" x14ac:dyDescent="0.25">
      <c r="G288" s="14"/>
      <c r="H288" s="23"/>
      <c r="I288" s="132"/>
      <c r="J288" s="132"/>
      <c r="K288" s="132"/>
      <c r="L288" s="132"/>
    </row>
    <row r="289" spans="7:12" ht="20.25" x14ac:dyDescent="0.25">
      <c r="G289" s="14"/>
      <c r="H289" s="23"/>
      <c r="I289" s="132"/>
      <c r="J289" s="132"/>
      <c r="K289" s="132"/>
      <c r="L289" s="132"/>
    </row>
    <row r="290" spans="7:12" ht="20.25" x14ac:dyDescent="0.25">
      <c r="G290" s="14"/>
      <c r="H290" s="23"/>
      <c r="I290" s="132"/>
      <c r="J290" s="132"/>
      <c r="K290" s="132"/>
      <c r="L290" s="132"/>
    </row>
    <row r="291" spans="7:12" ht="20.25" x14ac:dyDescent="0.25">
      <c r="G291" s="14"/>
      <c r="H291" s="23"/>
      <c r="I291" s="132"/>
      <c r="J291" s="132"/>
      <c r="K291" s="132"/>
      <c r="L291" s="132"/>
    </row>
    <row r="292" spans="7:12" ht="20.25" x14ac:dyDescent="0.25">
      <c r="G292" s="14"/>
      <c r="H292" s="23"/>
      <c r="I292" s="132"/>
      <c r="J292" s="132"/>
      <c r="K292" s="132"/>
      <c r="L292" s="132"/>
    </row>
    <row r="293" spans="7:12" ht="20.25" x14ac:dyDescent="0.25">
      <c r="G293" s="14"/>
      <c r="H293" s="23"/>
      <c r="I293" s="132"/>
      <c r="J293" s="132"/>
      <c r="K293" s="132"/>
      <c r="L293" s="132"/>
    </row>
    <row r="294" spans="7:12" ht="20.25" x14ac:dyDescent="0.25">
      <c r="G294" s="14"/>
      <c r="H294" s="23"/>
      <c r="I294" s="132"/>
      <c r="J294" s="132"/>
      <c r="K294" s="132"/>
      <c r="L294" s="132"/>
    </row>
    <row r="295" spans="7:12" ht="20.25" x14ac:dyDescent="0.25">
      <c r="G295" s="14"/>
      <c r="H295" s="23"/>
      <c r="I295" s="132"/>
      <c r="J295" s="132"/>
      <c r="K295" s="132"/>
      <c r="L295" s="132"/>
    </row>
    <row r="296" spans="7:12" ht="20.25" x14ac:dyDescent="0.25">
      <c r="G296" s="14"/>
      <c r="H296" s="23"/>
      <c r="I296" s="132"/>
      <c r="J296" s="132"/>
      <c r="K296" s="132"/>
      <c r="L296" s="132"/>
    </row>
    <row r="297" spans="7:12" ht="20.25" x14ac:dyDescent="0.25">
      <c r="G297" s="14"/>
      <c r="H297" s="23"/>
      <c r="I297" s="132"/>
      <c r="J297" s="132"/>
      <c r="K297" s="132"/>
      <c r="L297" s="132"/>
    </row>
    <row r="298" spans="7:12" ht="20.25" x14ac:dyDescent="0.25">
      <c r="G298" s="14"/>
      <c r="H298" s="23"/>
      <c r="I298" s="132"/>
      <c r="J298" s="132"/>
      <c r="K298" s="132"/>
      <c r="L298" s="132"/>
    </row>
    <row r="299" spans="7:12" ht="20.25" x14ac:dyDescent="0.25">
      <c r="G299" s="14"/>
      <c r="H299" s="23"/>
      <c r="I299" s="132"/>
      <c r="J299" s="132"/>
      <c r="K299" s="132"/>
      <c r="L299" s="132"/>
    </row>
    <row r="300" spans="7:12" ht="20.25" x14ac:dyDescent="0.25">
      <c r="G300" s="14"/>
      <c r="H300" s="23"/>
      <c r="I300" s="132"/>
      <c r="J300" s="132"/>
      <c r="K300" s="132"/>
      <c r="L300" s="132"/>
    </row>
    <row r="301" spans="7:12" ht="20.25" x14ac:dyDescent="0.25">
      <c r="G301" s="14"/>
      <c r="H301" s="23"/>
      <c r="I301" s="132"/>
      <c r="J301" s="132"/>
      <c r="K301" s="132"/>
      <c r="L301" s="132"/>
    </row>
    <row r="302" spans="7:12" ht="20.25" x14ac:dyDescent="0.25">
      <c r="G302" s="14"/>
      <c r="H302" s="23"/>
      <c r="I302" s="132"/>
      <c r="J302" s="132"/>
      <c r="K302" s="132"/>
      <c r="L302" s="132"/>
    </row>
    <row r="303" spans="7:12" ht="20.25" x14ac:dyDescent="0.25">
      <c r="G303" s="14"/>
      <c r="H303" s="23"/>
      <c r="I303" s="132"/>
      <c r="J303" s="132"/>
      <c r="K303" s="132"/>
      <c r="L303" s="132"/>
    </row>
    <row r="304" spans="7:12" ht="20.25" x14ac:dyDescent="0.25">
      <c r="G304" s="14"/>
      <c r="H304" s="23"/>
      <c r="I304" s="132"/>
      <c r="J304" s="132"/>
      <c r="K304" s="132"/>
      <c r="L304" s="132"/>
    </row>
    <row r="305" spans="7:12" ht="20.25" x14ac:dyDescent="0.25">
      <c r="G305" s="14"/>
      <c r="H305" s="23"/>
      <c r="I305" s="132"/>
      <c r="J305" s="132"/>
      <c r="K305" s="132"/>
      <c r="L305" s="132"/>
    </row>
    <row r="306" spans="7:12" ht="20.25" x14ac:dyDescent="0.25">
      <c r="G306" s="14"/>
      <c r="H306" s="23"/>
      <c r="I306" s="132"/>
      <c r="J306" s="132"/>
      <c r="K306" s="132"/>
      <c r="L306" s="132"/>
    </row>
    <row r="307" spans="7:12" ht="20.25" x14ac:dyDescent="0.25">
      <c r="G307" s="14"/>
      <c r="H307" s="23"/>
      <c r="I307" s="132"/>
      <c r="J307" s="132"/>
      <c r="K307" s="132"/>
      <c r="L307" s="132"/>
    </row>
    <row r="308" spans="7:12" ht="20.25" x14ac:dyDescent="0.25">
      <c r="G308" s="14"/>
      <c r="H308" s="23"/>
      <c r="I308" s="132"/>
      <c r="J308" s="132"/>
      <c r="K308" s="132"/>
      <c r="L308" s="132"/>
    </row>
    <row r="309" spans="7:12" ht="20.25" x14ac:dyDescent="0.25">
      <c r="G309" s="14"/>
      <c r="H309" s="23"/>
      <c r="I309" s="132"/>
      <c r="J309" s="132"/>
      <c r="K309" s="132"/>
      <c r="L309" s="132"/>
    </row>
    <row r="310" spans="7:12" ht="20.25" x14ac:dyDescent="0.25">
      <c r="G310" s="14"/>
      <c r="H310" s="23"/>
      <c r="I310" s="132"/>
      <c r="J310" s="132"/>
      <c r="K310" s="132"/>
      <c r="L310" s="132"/>
    </row>
    <row r="311" spans="7:12" ht="20.25" x14ac:dyDescent="0.25">
      <c r="G311" s="14"/>
      <c r="H311" s="23"/>
      <c r="I311" s="132"/>
      <c r="J311" s="132"/>
      <c r="K311" s="132"/>
      <c r="L311" s="132"/>
    </row>
    <row r="312" spans="7:12" ht="20.25" x14ac:dyDescent="0.25">
      <c r="G312" s="14"/>
      <c r="H312" s="23"/>
      <c r="I312" s="132"/>
      <c r="J312" s="132"/>
      <c r="K312" s="132"/>
      <c r="L312" s="132"/>
    </row>
    <row r="313" spans="7:12" ht="20.25" x14ac:dyDescent="0.25">
      <c r="G313" s="14"/>
      <c r="H313" s="23"/>
      <c r="I313" s="132"/>
      <c r="J313" s="132"/>
      <c r="K313" s="132"/>
      <c r="L313" s="132"/>
    </row>
    <row r="314" spans="7:12" ht="20.25" x14ac:dyDescent="0.25">
      <c r="G314" s="14"/>
      <c r="H314" s="23"/>
      <c r="I314" s="132"/>
      <c r="J314" s="132"/>
      <c r="K314" s="132"/>
      <c r="L314" s="132"/>
    </row>
    <row r="315" spans="7:12" ht="20.25" x14ac:dyDescent="0.25">
      <c r="G315" s="14"/>
      <c r="H315" s="23"/>
      <c r="I315" s="132"/>
      <c r="J315" s="132"/>
      <c r="K315" s="132"/>
      <c r="L315" s="132"/>
    </row>
    <row r="316" spans="7:12" ht="20.25" x14ac:dyDescent="0.25">
      <c r="G316" s="14"/>
      <c r="H316" s="23"/>
      <c r="I316" s="132"/>
      <c r="J316" s="132"/>
      <c r="K316" s="132"/>
      <c r="L316" s="132"/>
    </row>
    <row r="317" spans="7:12" ht="20.25" x14ac:dyDescent="0.25">
      <c r="G317" s="14"/>
      <c r="H317" s="23"/>
      <c r="I317" s="132"/>
      <c r="J317" s="132"/>
      <c r="K317" s="132"/>
      <c r="L317" s="132"/>
    </row>
    <row r="318" spans="7:12" ht="20.25" x14ac:dyDescent="0.25">
      <c r="G318" s="14"/>
      <c r="H318" s="23"/>
      <c r="I318" s="132"/>
      <c r="J318" s="132"/>
      <c r="K318" s="132"/>
      <c r="L318" s="132"/>
    </row>
    <row r="319" spans="7:12" ht="20.25" x14ac:dyDescent="0.25">
      <c r="G319" s="14"/>
      <c r="H319" s="23"/>
      <c r="I319" s="132"/>
      <c r="J319" s="132"/>
      <c r="K319" s="132"/>
      <c r="L319" s="132"/>
    </row>
    <row r="320" spans="7:12" ht="20.25" x14ac:dyDescent="0.25">
      <c r="G320" s="14"/>
      <c r="H320" s="23"/>
      <c r="I320" s="132"/>
      <c r="J320" s="132"/>
      <c r="K320" s="132"/>
      <c r="L320" s="132"/>
    </row>
    <row r="321" spans="7:12" ht="20.25" x14ac:dyDescent="0.25">
      <c r="G321" s="14"/>
      <c r="H321" s="23"/>
      <c r="I321" s="132"/>
      <c r="J321" s="132"/>
      <c r="K321" s="132"/>
      <c r="L321" s="132"/>
    </row>
    <row r="322" spans="7:12" ht="20.25" x14ac:dyDescent="0.25">
      <c r="G322" s="14"/>
      <c r="H322" s="23"/>
      <c r="I322" s="132"/>
      <c r="J322" s="132"/>
      <c r="K322" s="132"/>
      <c r="L322" s="132"/>
    </row>
    <row r="323" spans="7:12" ht="20.25" x14ac:dyDescent="0.25">
      <c r="G323" s="14"/>
      <c r="H323" s="23"/>
      <c r="I323" s="132"/>
      <c r="J323" s="132"/>
      <c r="K323" s="132"/>
      <c r="L323" s="132"/>
    </row>
    <row r="324" spans="7:12" ht="20.25" x14ac:dyDescent="0.25">
      <c r="G324" s="14"/>
      <c r="H324" s="23"/>
      <c r="I324" s="132"/>
      <c r="J324" s="132"/>
      <c r="K324" s="132"/>
      <c r="L324" s="132"/>
    </row>
    <row r="325" spans="7:12" ht="20.25" x14ac:dyDescent="0.25">
      <c r="G325" s="14"/>
      <c r="H325" s="23"/>
      <c r="I325" s="132"/>
      <c r="J325" s="132"/>
      <c r="K325" s="132"/>
      <c r="L325" s="132"/>
    </row>
    <row r="326" spans="7:12" ht="20.25" x14ac:dyDescent="0.25">
      <c r="G326" s="14"/>
      <c r="H326" s="23"/>
      <c r="I326" s="132"/>
      <c r="J326" s="132"/>
      <c r="K326" s="132"/>
      <c r="L326" s="132"/>
    </row>
    <row r="327" spans="7:12" ht="20.25" x14ac:dyDescent="0.25">
      <c r="G327" s="14"/>
      <c r="H327" s="23"/>
      <c r="I327" s="132"/>
      <c r="J327" s="132"/>
      <c r="K327" s="132"/>
      <c r="L327" s="132"/>
    </row>
    <row r="328" spans="7:12" ht="20.25" x14ac:dyDescent="0.25">
      <c r="G328" s="14"/>
      <c r="H328" s="23"/>
      <c r="I328" s="132"/>
      <c r="J328" s="132"/>
      <c r="K328" s="132"/>
      <c r="L328" s="132"/>
    </row>
    <row r="329" spans="7:12" ht="20.25" x14ac:dyDescent="0.25">
      <c r="G329" s="14"/>
      <c r="H329" s="23"/>
      <c r="I329" s="132"/>
      <c r="J329" s="132"/>
      <c r="K329" s="132"/>
      <c r="L329" s="132"/>
    </row>
    <row r="330" spans="7:12" ht="20.25" x14ac:dyDescent="0.25">
      <c r="G330" s="14"/>
      <c r="H330" s="23"/>
      <c r="I330" s="132"/>
      <c r="J330" s="132"/>
      <c r="K330" s="132"/>
      <c r="L330" s="132"/>
    </row>
    <row r="331" spans="7:12" ht="20.25" x14ac:dyDescent="0.25">
      <c r="G331" s="14"/>
      <c r="H331" s="23"/>
      <c r="I331" s="132"/>
      <c r="J331" s="132"/>
      <c r="K331" s="132"/>
      <c r="L331" s="132"/>
    </row>
    <row r="332" spans="7:12" ht="20.25" x14ac:dyDescent="0.25">
      <c r="G332" s="14"/>
      <c r="H332" s="23"/>
      <c r="I332" s="132"/>
      <c r="J332" s="132"/>
      <c r="K332" s="132"/>
      <c r="L332" s="132"/>
    </row>
    <row r="333" spans="7:12" ht="20.25" x14ac:dyDescent="0.25">
      <c r="G333" s="14"/>
      <c r="H333" s="23"/>
      <c r="I333" s="132"/>
      <c r="J333" s="132"/>
      <c r="K333" s="132"/>
      <c r="L333" s="132"/>
    </row>
    <row r="334" spans="7:12" ht="20.25" x14ac:dyDescent="0.25">
      <c r="G334" s="14"/>
      <c r="H334" s="23"/>
      <c r="I334" s="132"/>
      <c r="J334" s="132"/>
      <c r="K334" s="132"/>
      <c r="L334" s="132"/>
    </row>
    <row r="335" spans="7:12" ht="20.25" x14ac:dyDescent="0.25">
      <c r="G335" s="14"/>
      <c r="H335" s="23"/>
      <c r="I335" s="132"/>
      <c r="J335" s="132"/>
      <c r="K335" s="132"/>
      <c r="L335" s="132"/>
    </row>
    <row r="336" spans="7:12" ht="20.25" x14ac:dyDescent="0.25">
      <c r="G336" s="14"/>
      <c r="H336" s="23"/>
      <c r="I336" s="132"/>
      <c r="J336" s="132"/>
      <c r="K336" s="132"/>
      <c r="L336" s="132"/>
    </row>
    <row r="337" spans="7:12" ht="20.25" x14ac:dyDescent="0.25">
      <c r="G337" s="14"/>
      <c r="H337" s="23"/>
      <c r="I337" s="132"/>
      <c r="J337" s="132"/>
      <c r="K337" s="132"/>
      <c r="L337" s="132"/>
    </row>
    <row r="338" spans="7:12" ht="20.25" x14ac:dyDescent="0.25">
      <c r="G338" s="14"/>
      <c r="H338" s="23"/>
      <c r="I338" s="132"/>
      <c r="J338" s="132"/>
      <c r="K338" s="132"/>
      <c r="L338" s="132"/>
    </row>
    <row r="339" spans="7:12" ht="20.25" x14ac:dyDescent="0.25">
      <c r="G339" s="14"/>
      <c r="H339" s="23"/>
      <c r="I339" s="132"/>
      <c r="J339" s="132"/>
      <c r="K339" s="132"/>
      <c r="L339" s="132"/>
    </row>
    <row r="340" spans="7:12" ht="20.25" x14ac:dyDescent="0.25">
      <c r="G340" s="14"/>
      <c r="H340" s="23"/>
      <c r="I340" s="132"/>
      <c r="J340" s="132"/>
      <c r="K340" s="132"/>
      <c r="L340" s="132"/>
    </row>
    <row r="341" spans="7:12" ht="20.25" x14ac:dyDescent="0.25">
      <c r="G341" s="14"/>
      <c r="H341" s="23"/>
      <c r="I341" s="132"/>
      <c r="J341" s="132"/>
      <c r="K341" s="132"/>
      <c r="L341" s="132"/>
    </row>
    <row r="342" spans="7:12" ht="20.25" x14ac:dyDescent="0.25">
      <c r="G342" s="14"/>
      <c r="H342" s="23"/>
      <c r="I342" s="132"/>
      <c r="J342" s="132"/>
      <c r="K342" s="132"/>
      <c r="L342" s="132"/>
    </row>
    <row r="343" spans="7:12" ht="20.25" x14ac:dyDescent="0.25">
      <c r="G343" s="14"/>
      <c r="H343" s="23"/>
      <c r="I343" s="132"/>
      <c r="J343" s="132"/>
      <c r="K343" s="132"/>
      <c r="L343" s="132"/>
    </row>
    <row r="344" spans="7:12" ht="20.25" x14ac:dyDescent="0.25">
      <c r="G344" s="14"/>
      <c r="H344" s="23"/>
      <c r="I344" s="132"/>
      <c r="J344" s="132"/>
      <c r="K344" s="132"/>
      <c r="L344" s="132"/>
    </row>
    <row r="345" spans="7:12" ht="20.25" x14ac:dyDescent="0.25">
      <c r="G345" s="14"/>
      <c r="H345" s="23"/>
      <c r="I345" s="132"/>
      <c r="J345" s="132"/>
      <c r="K345" s="132"/>
      <c r="L345" s="132"/>
    </row>
    <row r="346" spans="7:12" ht="20.25" x14ac:dyDescent="0.25">
      <c r="G346" s="14"/>
      <c r="H346" s="23"/>
      <c r="I346" s="132"/>
      <c r="J346" s="132"/>
      <c r="K346" s="132"/>
      <c r="L346" s="132"/>
    </row>
    <row r="347" spans="7:12" ht="20.25" x14ac:dyDescent="0.25">
      <c r="G347" s="14"/>
      <c r="H347" s="23"/>
      <c r="I347" s="132"/>
      <c r="J347" s="132"/>
      <c r="K347" s="132"/>
      <c r="L347" s="132"/>
    </row>
    <row r="348" spans="7:12" ht="20.25" x14ac:dyDescent="0.25">
      <c r="G348" s="14"/>
      <c r="H348" s="23"/>
      <c r="I348" s="132"/>
      <c r="J348" s="132"/>
      <c r="K348" s="132"/>
      <c r="L348" s="132"/>
    </row>
    <row r="349" spans="7:12" ht="20.25" x14ac:dyDescent="0.25">
      <c r="G349" s="14"/>
      <c r="H349" s="23"/>
      <c r="I349" s="132"/>
      <c r="J349" s="132"/>
      <c r="K349" s="132"/>
      <c r="L349" s="132"/>
    </row>
    <row r="350" spans="7:12" ht="20.25" x14ac:dyDescent="0.25">
      <c r="G350" s="14"/>
      <c r="H350" s="23"/>
      <c r="I350" s="132"/>
      <c r="J350" s="132"/>
      <c r="K350" s="132"/>
      <c r="L350" s="132"/>
    </row>
    <row r="351" spans="7:12" ht="20.25" x14ac:dyDescent="0.25">
      <c r="G351" s="14"/>
      <c r="H351" s="23"/>
      <c r="I351" s="132"/>
      <c r="J351" s="132"/>
      <c r="K351" s="132"/>
      <c r="L351" s="132"/>
    </row>
    <row r="352" spans="7:12" ht="20.25" x14ac:dyDescent="0.25">
      <c r="G352" s="14"/>
      <c r="H352" s="23"/>
      <c r="I352" s="132"/>
      <c r="J352" s="132"/>
      <c r="K352" s="132"/>
      <c r="L352" s="132"/>
    </row>
    <row r="353" spans="7:12" ht="20.25" x14ac:dyDescent="0.25">
      <c r="G353" s="14"/>
      <c r="H353" s="23"/>
      <c r="I353" s="132"/>
      <c r="J353" s="132"/>
      <c r="K353" s="132"/>
      <c r="L353" s="132"/>
    </row>
    <row r="354" spans="7:12" ht="20.25" x14ac:dyDescent="0.25">
      <c r="G354" s="14"/>
      <c r="H354" s="23"/>
      <c r="I354" s="132"/>
      <c r="J354" s="132"/>
      <c r="K354" s="132"/>
      <c r="L354" s="132"/>
    </row>
    <row r="355" spans="7:12" ht="20.25" x14ac:dyDescent="0.25">
      <c r="G355" s="14"/>
      <c r="H355" s="23"/>
      <c r="I355" s="132"/>
      <c r="J355" s="132"/>
      <c r="K355" s="132"/>
      <c r="L355" s="132"/>
    </row>
    <row r="356" spans="7:12" ht="20.25" x14ac:dyDescent="0.25">
      <c r="G356" s="14"/>
      <c r="H356" s="23"/>
      <c r="I356" s="132"/>
      <c r="J356" s="132"/>
      <c r="K356" s="132"/>
      <c r="L356" s="132"/>
    </row>
    <row r="357" spans="7:12" ht="20.25" x14ac:dyDescent="0.25">
      <c r="G357" s="14"/>
      <c r="H357" s="23"/>
      <c r="I357" s="132"/>
      <c r="J357" s="132"/>
      <c r="K357" s="132"/>
      <c r="L357" s="132"/>
    </row>
    <row r="358" spans="7:12" ht="20.25" x14ac:dyDescent="0.25">
      <c r="G358" s="14"/>
      <c r="H358" s="23"/>
      <c r="I358" s="132"/>
      <c r="J358" s="132"/>
      <c r="K358" s="132"/>
      <c r="L358" s="132"/>
    </row>
    <row r="359" spans="7:12" ht="20.25" x14ac:dyDescent="0.25">
      <c r="G359" s="14"/>
      <c r="H359" s="23"/>
      <c r="I359" s="132"/>
      <c r="J359" s="132"/>
      <c r="K359" s="132"/>
      <c r="L359" s="132"/>
    </row>
    <row r="360" spans="7:12" ht="20.25" x14ac:dyDescent="0.25">
      <c r="G360" s="14"/>
      <c r="H360" s="23"/>
      <c r="I360" s="132"/>
      <c r="J360" s="132"/>
      <c r="K360" s="132"/>
      <c r="L360" s="132"/>
    </row>
    <row r="361" spans="7:12" ht="20.25" x14ac:dyDescent="0.25">
      <c r="G361" s="14"/>
      <c r="H361" s="23"/>
      <c r="I361" s="132"/>
      <c r="J361" s="132"/>
      <c r="K361" s="132"/>
      <c r="L361" s="132"/>
    </row>
    <row r="362" spans="7:12" ht="20.25" x14ac:dyDescent="0.25">
      <c r="G362" s="14"/>
      <c r="H362" s="23"/>
      <c r="I362" s="132"/>
      <c r="J362" s="132"/>
      <c r="K362" s="132"/>
      <c r="L362" s="132"/>
    </row>
    <row r="363" spans="7:12" ht="20.25" x14ac:dyDescent="0.25">
      <c r="G363" s="14"/>
      <c r="H363" s="23"/>
      <c r="I363" s="132"/>
      <c r="J363" s="132"/>
      <c r="K363" s="132"/>
      <c r="L363" s="132"/>
    </row>
    <row r="364" spans="7:12" ht="20.25" x14ac:dyDescent="0.25">
      <c r="G364" s="14"/>
      <c r="H364" s="23"/>
      <c r="I364" s="132"/>
      <c r="J364" s="132"/>
      <c r="K364" s="132"/>
      <c r="L364" s="132"/>
    </row>
    <row r="365" spans="7:12" ht="20.25" x14ac:dyDescent="0.25">
      <c r="G365" s="14"/>
      <c r="H365" s="23"/>
      <c r="I365" s="132"/>
      <c r="J365" s="132"/>
      <c r="K365" s="132"/>
      <c r="L365" s="132"/>
    </row>
    <row r="366" spans="7:12" ht="20.25" x14ac:dyDescent="0.25">
      <c r="G366" s="14"/>
      <c r="H366" s="23"/>
      <c r="I366" s="132"/>
      <c r="J366" s="132"/>
      <c r="K366" s="132"/>
      <c r="L366" s="132"/>
    </row>
    <row r="367" spans="7:12" ht="20.25" x14ac:dyDescent="0.25">
      <c r="G367" s="14"/>
      <c r="H367" s="23"/>
      <c r="I367" s="132"/>
      <c r="J367" s="132"/>
      <c r="K367" s="132"/>
      <c r="L367" s="132"/>
    </row>
    <row r="368" spans="7:12" ht="20.25" x14ac:dyDescent="0.25">
      <c r="G368" s="14"/>
      <c r="H368" s="23"/>
      <c r="I368" s="132"/>
      <c r="J368" s="132"/>
      <c r="K368" s="132"/>
      <c r="L368" s="132"/>
    </row>
    <row r="369" spans="7:12" ht="20.25" x14ac:dyDescent="0.25">
      <c r="G369" s="14"/>
      <c r="H369" s="23"/>
      <c r="I369" s="132"/>
      <c r="J369" s="132"/>
      <c r="K369" s="132"/>
      <c r="L369" s="132"/>
    </row>
    <row r="370" spans="7:12" ht="20.25" x14ac:dyDescent="0.25">
      <c r="G370" s="14"/>
      <c r="H370" s="23"/>
      <c r="I370" s="132"/>
      <c r="J370" s="132"/>
      <c r="K370" s="132"/>
      <c r="L370" s="132"/>
    </row>
    <row r="371" spans="7:12" ht="20.25" x14ac:dyDescent="0.25">
      <c r="G371" s="14"/>
      <c r="H371" s="23"/>
      <c r="I371" s="132"/>
      <c r="J371" s="132"/>
      <c r="K371" s="132"/>
      <c r="L371" s="132"/>
    </row>
    <row r="372" spans="7:12" ht="20.25" x14ac:dyDescent="0.25">
      <c r="G372" s="14"/>
      <c r="H372" s="23"/>
      <c r="I372" s="132"/>
      <c r="J372" s="132"/>
      <c r="K372" s="132"/>
      <c r="L372" s="132"/>
    </row>
    <row r="373" spans="7:12" ht="20.25" x14ac:dyDescent="0.25">
      <c r="G373" s="14"/>
      <c r="H373" s="23"/>
      <c r="I373" s="132"/>
      <c r="J373" s="132"/>
      <c r="K373" s="132"/>
      <c r="L373" s="132"/>
    </row>
    <row r="374" spans="7:12" ht="20.25" x14ac:dyDescent="0.25">
      <c r="G374" s="14"/>
      <c r="H374" s="23"/>
      <c r="I374" s="132"/>
      <c r="J374" s="132"/>
      <c r="K374" s="132"/>
      <c r="L374" s="132"/>
    </row>
  </sheetData>
  <mergeCells count="97">
    <mergeCell ref="AJ9:AJ11"/>
    <mergeCell ref="BC12:BC14"/>
    <mergeCell ref="BD12:BD14"/>
    <mergeCell ref="BE13:BH13"/>
    <mergeCell ref="BI13:BV13"/>
    <mergeCell ref="BE12:BV12"/>
    <mergeCell ref="AX12:AX14"/>
    <mergeCell ref="AY12:AY14"/>
    <mergeCell ref="AZ12:AZ14"/>
    <mergeCell ref="BA12:BA14"/>
    <mergeCell ref="BB12:BB14"/>
    <mergeCell ref="AW12:AW14"/>
    <mergeCell ref="K99:K101"/>
    <mergeCell ref="L99:L101"/>
    <mergeCell ref="M99:M101"/>
    <mergeCell ref="N99:N101"/>
    <mergeCell ref="O22:R22"/>
    <mergeCell ref="O34:R34"/>
    <mergeCell ref="O33:AG33"/>
    <mergeCell ref="K24:K25"/>
    <mergeCell ref="L24:L25"/>
    <mergeCell ref="M24:M25"/>
    <mergeCell ref="N24:N25"/>
    <mergeCell ref="K55:K57"/>
    <mergeCell ref="L55:L57"/>
    <mergeCell ref="M55:M57"/>
    <mergeCell ref="N55:N57"/>
    <mergeCell ref="K77:K79"/>
    <mergeCell ref="L77:L79"/>
    <mergeCell ref="M77:M79"/>
    <mergeCell ref="N77:N79"/>
    <mergeCell ref="O10:S10"/>
    <mergeCell ref="K33:K35"/>
    <mergeCell ref="L33:L35"/>
    <mergeCell ref="M33:M35"/>
    <mergeCell ref="N33:N35"/>
    <mergeCell ref="M10:M11"/>
    <mergeCell ref="N10:N11"/>
    <mergeCell ref="K22:K23"/>
    <mergeCell ref="L22:L23"/>
    <mergeCell ref="M22:M23"/>
    <mergeCell ref="N22:N23"/>
    <mergeCell ref="R56:R57"/>
    <mergeCell ref="Q23:R23"/>
    <mergeCell ref="O24:P25"/>
    <mergeCell ref="Q24:R25"/>
    <mergeCell ref="S24:T25"/>
    <mergeCell ref="F9:F11"/>
    <mergeCell ref="H22:H23"/>
    <mergeCell ref="I22:I23"/>
    <mergeCell ref="J22:J23"/>
    <mergeCell ref="O23:P23"/>
    <mergeCell ref="O9:AH9"/>
    <mergeCell ref="G9:G11"/>
    <mergeCell ref="H9:H11"/>
    <mergeCell ref="T10:AH10"/>
    <mergeCell ref="S22:T23"/>
    <mergeCell ref="I10:I11"/>
    <mergeCell ref="J10:J11"/>
    <mergeCell ref="K10:K11"/>
    <mergeCell ref="I9:K9"/>
    <mergeCell ref="L10:L11"/>
    <mergeCell ref="L9:N9"/>
    <mergeCell ref="F24:G25"/>
    <mergeCell ref="F22:G23"/>
    <mergeCell ref="H24:H25"/>
    <mergeCell ref="I24:I25"/>
    <mergeCell ref="J24:J25"/>
    <mergeCell ref="G98:G100"/>
    <mergeCell ref="G32:G34"/>
    <mergeCell ref="H33:H35"/>
    <mergeCell ref="I33:I35"/>
    <mergeCell ref="J33:J35"/>
    <mergeCell ref="H55:H57"/>
    <mergeCell ref="I55:I57"/>
    <mergeCell ref="J55:J57"/>
    <mergeCell ref="H77:H79"/>
    <mergeCell ref="I77:I79"/>
    <mergeCell ref="J77:J79"/>
    <mergeCell ref="G76:G78"/>
    <mergeCell ref="G54:G56"/>
    <mergeCell ref="AI9:AI11"/>
    <mergeCell ref="T100:AF100"/>
    <mergeCell ref="H99:H101"/>
    <mergeCell ref="I99:I101"/>
    <mergeCell ref="J99:J101"/>
    <mergeCell ref="O100:Q100"/>
    <mergeCell ref="R100:R101"/>
    <mergeCell ref="O99:AF99"/>
    <mergeCell ref="O77:AF77"/>
    <mergeCell ref="O78:Q78"/>
    <mergeCell ref="R78:R79"/>
    <mergeCell ref="T78:AF78"/>
    <mergeCell ref="O55:AF55"/>
    <mergeCell ref="O56:Q56"/>
    <mergeCell ref="T56:AF56"/>
    <mergeCell ref="T34:AG34"/>
  </mergeCells>
  <conditionalFormatting sqref="AH12:AH21">
    <cfRule type="expression" dxfId="28" priority="15">
      <formula>$AL12=1</formula>
    </cfRule>
  </conditionalFormatting>
  <conditionalFormatting sqref="AK46:AK49">
    <cfRule type="expression" dxfId="27" priority="14">
      <formula>$AL46=1</formula>
    </cfRule>
  </conditionalFormatting>
  <conditionalFormatting sqref="AK68:AK72">
    <cfRule type="expression" dxfId="26" priority="13">
      <formula>$AL68=1</formula>
    </cfRule>
  </conditionalFormatting>
  <conditionalFormatting sqref="AK90:AK96">
    <cfRule type="expression" dxfId="25" priority="12">
      <formula>$AL90=1</formula>
    </cfRule>
  </conditionalFormatting>
  <conditionalFormatting sqref="AK112:AK118">
    <cfRule type="expression" dxfId="24" priority="11">
      <formula>$AL112=1</formula>
    </cfRule>
  </conditionalFormatting>
  <conditionalFormatting sqref="AI12:AJ23">
    <cfRule type="expression" dxfId="23" priority="10">
      <formula>$AL12=1</formula>
    </cfRule>
  </conditionalFormatting>
  <conditionalFormatting sqref="AI12:AJ23">
    <cfRule type="expression" dxfId="22" priority="9">
      <formula>$AL12=1</formula>
    </cfRule>
  </conditionalFormatting>
  <conditionalFormatting sqref="AI12:AJ23">
    <cfRule type="expression" dxfId="21" priority="8">
      <formula>$AL12=1</formula>
    </cfRule>
  </conditionalFormatting>
  <conditionalFormatting sqref="AI17:AJ23 F12:AJ21">
    <cfRule type="expression" dxfId="20" priority="51">
      <formula>$AL12=1</formula>
    </cfRule>
  </conditionalFormatting>
  <conditionalFormatting sqref="AK114:AK123">
    <cfRule type="expression" dxfId="19" priority="4">
      <formula>$AL114=1</formula>
    </cfRule>
  </conditionalFormatting>
  <conditionalFormatting sqref="AJ90:AJ96">
    <cfRule type="expression" dxfId="18" priority="1">
      <formula>$AL90=1</formula>
    </cfRule>
  </conditionalFormatting>
  <pageMargins left="0.45" right="0.45" top="0.75" bottom="0.75" header="0.3" footer="0.3"/>
  <pageSetup paperSize="9" scale="43" orientation="landscape" r:id="rId1"/>
  <ignoredErrors>
    <ignoredError sqref="S12:S14 AH21 AH13 S15:S20 AH15:AH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VALUES">
                <anchor moveWithCells="1" sizeWithCells="1">
                  <from>
                    <xdr:col>8</xdr:col>
                    <xdr:colOff>38100</xdr:colOff>
                    <xdr:row>3</xdr:row>
                    <xdr:rowOff>47625</xdr:rowOff>
                  </from>
                  <to>
                    <xdr:col>9</xdr:col>
                    <xdr:colOff>133350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CN95"/>
  <sheetViews>
    <sheetView tabSelected="1" zoomScale="62" zoomScaleNormal="62" workbookViewId="0">
      <selection activeCell="G5" sqref="G5"/>
    </sheetView>
  </sheetViews>
  <sheetFormatPr defaultColWidth="0" defaultRowHeight="15" x14ac:dyDescent="0.25"/>
  <cols>
    <col min="1" max="1" width="2.5703125" style="36" customWidth="1"/>
    <col min="2" max="3" width="9.140625" style="36" hidden="1" customWidth="1"/>
    <col min="4" max="5" width="3.85546875" style="36" hidden="1" customWidth="1"/>
    <col min="6" max="6" width="16.28515625" style="36" bestFit="1" customWidth="1"/>
    <col min="7" max="7" width="27.140625" style="36" customWidth="1"/>
    <col min="8" max="8" width="9.7109375" style="36" customWidth="1"/>
    <col min="9" max="9" width="13.140625" style="36" customWidth="1"/>
    <col min="10" max="10" width="12.85546875" style="36" customWidth="1"/>
    <col min="11" max="11" width="13.5703125" style="36" customWidth="1"/>
    <col min="12" max="12" width="14" style="36" customWidth="1"/>
    <col min="13" max="13" width="14.85546875" style="36" customWidth="1"/>
    <col min="14" max="14" width="13.85546875" style="36" customWidth="1"/>
    <col min="15" max="15" width="14" style="36" customWidth="1"/>
    <col min="16" max="16" width="9.140625" style="36" customWidth="1"/>
    <col min="17" max="17" width="10" style="36" bestFit="1" customWidth="1"/>
    <col min="18" max="19" width="9.140625" style="36" customWidth="1"/>
    <col min="20" max="20" width="11" style="36" hidden="1" customWidth="1"/>
    <col min="21" max="21" width="13.28515625" style="36" customWidth="1"/>
    <col min="22" max="25" width="9.140625" style="36" customWidth="1"/>
    <col min="26" max="26" width="10.140625" style="36" customWidth="1"/>
    <col min="27" max="32" width="9.140625" style="36" customWidth="1"/>
    <col min="33" max="33" width="9.140625" style="36" hidden="1" customWidth="1"/>
    <col min="34" max="36" width="9.140625" style="36" customWidth="1"/>
    <col min="37" max="37" width="10.140625" style="36" hidden="1" customWidth="1"/>
    <col min="38" max="38" width="10.140625" style="36" customWidth="1"/>
    <col min="39" max="39" width="12.28515625" style="36" customWidth="1"/>
    <col min="40" max="40" width="16.7109375" style="36" customWidth="1"/>
    <col min="41" max="42" width="16.140625" style="36" customWidth="1"/>
    <col min="43" max="43" width="14.42578125" style="36" customWidth="1"/>
    <col min="44" max="44" width="9.140625" style="36" customWidth="1"/>
    <col min="45" max="54" width="9.140625" style="36" hidden="1" customWidth="1"/>
    <col min="55" max="55" width="17.42578125" style="36" hidden="1" customWidth="1"/>
    <col min="56" max="56" width="17.7109375" style="36" hidden="1" customWidth="1"/>
    <col min="57" max="57" width="17.28515625" style="36" hidden="1" customWidth="1"/>
    <col min="58" max="58" width="9.7109375" style="36" hidden="1" customWidth="1"/>
    <col min="59" max="59" width="10.42578125" style="36" hidden="1" customWidth="1"/>
    <col min="60" max="60" width="9.140625" style="36" hidden="1" customWidth="1"/>
    <col min="61" max="62" width="9.7109375" style="36" hidden="1" customWidth="1"/>
    <col min="63" max="63" width="9.140625" style="36" hidden="1" customWidth="1"/>
    <col min="64" max="68" width="9.28515625" style="36" hidden="1" customWidth="1"/>
    <col min="69" max="69" width="9.140625" style="36" hidden="1" customWidth="1"/>
    <col min="70" max="70" width="11.42578125" style="36" hidden="1" customWidth="1"/>
    <col min="71" max="84" width="9.28515625" style="36" hidden="1" customWidth="1"/>
    <col min="85" max="85" width="17.140625" style="36" hidden="1" customWidth="1"/>
    <col min="86" max="86" width="13.7109375" style="36" hidden="1" customWidth="1"/>
    <col min="87" max="88" width="9.140625" style="36" hidden="1" customWidth="1"/>
    <col min="89" max="89" width="10.42578125" style="36" hidden="1" customWidth="1"/>
    <col min="90" max="16384" width="9.140625" style="36" hidden="1"/>
  </cols>
  <sheetData>
    <row r="1" spans="1:92" x14ac:dyDescent="0.25">
      <c r="A1" s="140"/>
      <c r="B1" s="140"/>
      <c r="C1" s="140"/>
      <c r="D1" s="14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12"/>
      <c r="AT1" s="12"/>
      <c r="AU1" s="12"/>
      <c r="AV1" s="6"/>
      <c r="AW1" s="3"/>
      <c r="AX1" s="16"/>
      <c r="AY1" s="9"/>
      <c r="AZ1" s="17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</row>
    <row r="2" spans="1:92" x14ac:dyDescent="0.25">
      <c r="A2" s="140"/>
      <c r="B2" s="140"/>
      <c r="C2" s="140"/>
      <c r="D2" s="140"/>
      <c r="E2" s="41"/>
      <c r="F2" s="41"/>
      <c r="G2" s="52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12"/>
      <c r="AT2" s="12"/>
      <c r="AU2" s="12"/>
      <c r="AV2" s="6"/>
      <c r="AW2" s="3"/>
      <c r="AX2" s="16"/>
      <c r="AY2" s="9"/>
      <c r="AZ2" s="17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</row>
    <row r="3" spans="1:92" x14ac:dyDescent="0.25">
      <c r="A3" s="140"/>
      <c r="B3" s="140"/>
      <c r="C3" s="140"/>
      <c r="D3" s="140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12"/>
      <c r="AT3" s="12"/>
      <c r="AU3" s="12"/>
      <c r="AV3" s="6"/>
      <c r="AW3" s="3"/>
      <c r="AX3" s="16"/>
      <c r="AY3" s="9"/>
      <c r="AZ3" s="17"/>
      <c r="BA3" s="3" t="str">
        <f>CONCATENATE(BA15,BA16,BA17,BA18,BA19,BA20,BA21,BA22,BA23,BA24,BA25,BA26,BA27,BA28,BA29,BA30,BA31,BA32,BA33,BA34,BA35,BA36,BA37,BA38,BA39,BA40,BA41,BA42,BA43,BA44,BA45,BA46,BA47,BA48,BA49,BA50,BA51,BA52,BA53,BA54)</f>
        <v/>
      </c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92" ht="22.5" customHeight="1" x14ac:dyDescent="0.25">
      <c r="A4" s="140"/>
      <c r="B4" s="140"/>
      <c r="C4" s="140"/>
      <c r="D4" s="140"/>
      <c r="E4" s="41"/>
      <c r="F4" s="59" t="s">
        <v>2</v>
      </c>
      <c r="G4" s="164">
        <v>42099.291666666664</v>
      </c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12"/>
      <c r="AT4" s="12"/>
      <c r="AU4" s="12"/>
      <c r="AV4" s="6"/>
      <c r="AW4" s="3"/>
      <c r="AX4" s="16"/>
      <c r="AY4" s="9"/>
      <c r="AZ4" s="17"/>
      <c r="BA4" s="141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92" ht="27.75" customHeight="1" thickBot="1" x14ac:dyDescent="0.3">
      <c r="A5" s="140"/>
      <c r="B5" s="140"/>
      <c r="C5" s="140"/>
      <c r="D5" s="140"/>
      <c r="E5" s="41"/>
      <c r="F5" s="59" t="s">
        <v>3</v>
      </c>
      <c r="G5" s="165">
        <f>G4+1</f>
        <v>42100.291666666664</v>
      </c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12"/>
      <c r="AT5" s="12"/>
      <c r="AU5" s="12"/>
      <c r="AV5" s="6"/>
      <c r="AW5" s="3"/>
      <c r="AX5" s="16"/>
      <c r="AY5" s="9"/>
      <c r="AZ5" s="17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92" x14ac:dyDescent="0.25">
      <c r="A6" s="140"/>
      <c r="B6" s="140"/>
      <c r="C6" s="140"/>
      <c r="D6" s="140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12"/>
      <c r="AT6" s="12"/>
      <c r="AU6" s="12"/>
      <c r="AV6" s="6"/>
      <c r="AW6" s="3"/>
      <c r="AX6" s="16"/>
      <c r="AY6" s="9"/>
      <c r="AZ6" s="17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92" x14ac:dyDescent="0.25">
      <c r="A7" s="140"/>
      <c r="B7" s="140"/>
      <c r="C7" s="140"/>
      <c r="D7" s="140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68"/>
      <c r="AT7" s="12"/>
      <c r="AU7" s="12"/>
      <c r="AV7" s="12"/>
      <c r="AW7" s="6"/>
      <c r="AX7" s="3"/>
      <c r="AY7" s="16"/>
      <c r="AZ7" s="9"/>
      <c r="BA7" s="17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</row>
    <row r="8" spans="1:92" ht="15" customHeight="1" x14ac:dyDescent="0.25">
      <c r="A8" s="140"/>
      <c r="B8" s="140"/>
      <c r="C8" s="140"/>
      <c r="D8" s="140"/>
      <c r="E8" s="42"/>
      <c r="F8" s="50">
        <v>1</v>
      </c>
      <c r="G8" s="50">
        <v>3</v>
      </c>
      <c r="H8" s="50">
        <v>4</v>
      </c>
      <c r="I8" s="50">
        <v>5</v>
      </c>
      <c r="J8" s="50">
        <f>I8+1</f>
        <v>6</v>
      </c>
      <c r="K8" s="50">
        <f t="shared" ref="K8:T8" si="0">J8+1</f>
        <v>7</v>
      </c>
      <c r="L8" s="50">
        <f t="shared" si="0"/>
        <v>8</v>
      </c>
      <c r="M8" s="50">
        <f t="shared" si="0"/>
        <v>9</v>
      </c>
      <c r="N8" s="50">
        <f t="shared" si="0"/>
        <v>10</v>
      </c>
      <c r="O8" s="50">
        <f t="shared" si="0"/>
        <v>11</v>
      </c>
      <c r="P8" s="50">
        <f t="shared" si="0"/>
        <v>12</v>
      </c>
      <c r="Q8" s="50">
        <f t="shared" si="0"/>
        <v>13</v>
      </c>
      <c r="R8" s="50">
        <f t="shared" si="0"/>
        <v>14</v>
      </c>
      <c r="S8" s="50">
        <f t="shared" si="0"/>
        <v>15</v>
      </c>
      <c r="T8" s="50">
        <f t="shared" si="0"/>
        <v>16</v>
      </c>
      <c r="U8" s="50"/>
      <c r="V8" s="50">
        <v>17</v>
      </c>
      <c r="W8" s="50">
        <f>V8+1</f>
        <v>18</v>
      </c>
      <c r="X8" s="50">
        <f t="shared" ref="X8:AL8" si="1">W8+1</f>
        <v>19</v>
      </c>
      <c r="Y8" s="50">
        <f t="shared" si="1"/>
        <v>20</v>
      </c>
      <c r="Z8" s="50">
        <f t="shared" si="1"/>
        <v>21</v>
      </c>
      <c r="AA8" s="50">
        <f t="shared" si="1"/>
        <v>22</v>
      </c>
      <c r="AB8" s="50">
        <f t="shared" si="1"/>
        <v>23</v>
      </c>
      <c r="AC8" s="50">
        <f t="shared" si="1"/>
        <v>24</v>
      </c>
      <c r="AD8" s="50">
        <f t="shared" si="1"/>
        <v>25</v>
      </c>
      <c r="AE8" s="50">
        <f t="shared" si="1"/>
        <v>26</v>
      </c>
      <c r="AF8" s="50">
        <f t="shared" si="1"/>
        <v>27</v>
      </c>
      <c r="AG8" s="50">
        <f t="shared" si="1"/>
        <v>28</v>
      </c>
      <c r="AH8" s="50">
        <f t="shared" si="1"/>
        <v>29</v>
      </c>
      <c r="AI8" s="50">
        <f t="shared" si="1"/>
        <v>30</v>
      </c>
      <c r="AJ8" s="50">
        <f t="shared" si="1"/>
        <v>31</v>
      </c>
      <c r="AK8" s="50">
        <f t="shared" si="1"/>
        <v>32</v>
      </c>
      <c r="AL8" s="50">
        <f t="shared" si="1"/>
        <v>33</v>
      </c>
      <c r="AM8" s="50"/>
      <c r="AN8" s="51">
        <f>CI11</f>
        <v>34</v>
      </c>
      <c r="AO8" s="51">
        <v>35</v>
      </c>
      <c r="AP8" s="51">
        <f>CK11</f>
        <v>36</v>
      </c>
      <c r="AQ8" s="51">
        <f>CL11</f>
        <v>37</v>
      </c>
      <c r="AR8" s="41"/>
      <c r="AS8" s="68"/>
      <c r="AT8" s="35"/>
      <c r="AU8" s="35"/>
      <c r="AV8" s="35"/>
      <c r="AW8" s="38"/>
      <c r="AX8" s="35"/>
      <c r="AY8" s="39"/>
      <c r="AZ8" s="37"/>
      <c r="BA8" s="40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</row>
    <row r="9" spans="1:92" ht="18" customHeight="1" x14ac:dyDescent="0.3">
      <c r="A9" s="140"/>
      <c r="B9" s="140"/>
      <c r="C9" s="140"/>
      <c r="D9" s="140"/>
      <c r="E9" s="41"/>
      <c r="F9" s="396" t="s">
        <v>152</v>
      </c>
      <c r="G9" s="399" t="s">
        <v>112</v>
      </c>
      <c r="H9" s="402" t="s">
        <v>4</v>
      </c>
      <c r="I9" s="384" t="s">
        <v>169</v>
      </c>
      <c r="J9" s="385"/>
      <c r="K9" s="385"/>
      <c r="L9" s="386"/>
      <c r="M9" s="409" t="s">
        <v>170</v>
      </c>
      <c r="N9" s="410"/>
      <c r="O9" s="411"/>
      <c r="P9" s="328" t="s">
        <v>6</v>
      </c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N9" s="412" t="s">
        <v>168</v>
      </c>
      <c r="AO9" s="358" t="s">
        <v>253</v>
      </c>
      <c r="AP9" s="355" t="s">
        <v>209</v>
      </c>
      <c r="AQ9" s="355" t="s">
        <v>243</v>
      </c>
      <c r="AR9" s="41"/>
      <c r="AS9" s="68"/>
      <c r="AT9" s="12"/>
      <c r="AU9" s="12"/>
      <c r="AV9" s="12"/>
      <c r="AW9" s="6"/>
      <c r="AX9" s="3"/>
      <c r="AY9" s="16"/>
      <c r="AZ9" s="9"/>
      <c r="BA9" s="17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</row>
    <row r="10" spans="1:92" ht="15.75" x14ac:dyDescent="0.25">
      <c r="A10" s="140"/>
      <c r="B10" s="140"/>
      <c r="C10" s="140"/>
      <c r="D10" s="140"/>
      <c r="E10" s="41"/>
      <c r="F10" s="397"/>
      <c r="G10" s="400"/>
      <c r="H10" s="403"/>
      <c r="I10" s="340" t="s">
        <v>246</v>
      </c>
      <c r="J10" s="340" t="s">
        <v>160</v>
      </c>
      <c r="K10" s="340" t="s">
        <v>5</v>
      </c>
      <c r="L10" s="340" t="s">
        <v>161</v>
      </c>
      <c r="M10" s="300" t="s">
        <v>162</v>
      </c>
      <c r="N10" s="300" t="s">
        <v>163</v>
      </c>
      <c r="O10" s="300" t="s">
        <v>164</v>
      </c>
      <c r="P10" s="327" t="s">
        <v>24</v>
      </c>
      <c r="Q10" s="327"/>
      <c r="R10" s="327"/>
      <c r="S10" s="327"/>
      <c r="T10" s="327"/>
      <c r="U10" s="327"/>
      <c r="V10" s="335" t="s">
        <v>25</v>
      </c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335"/>
      <c r="AJ10" s="335"/>
      <c r="AK10" s="335"/>
      <c r="AL10" s="335"/>
      <c r="AM10" s="335"/>
      <c r="AN10" s="413"/>
      <c r="AO10" s="359"/>
      <c r="AP10" s="356"/>
      <c r="AQ10" s="356"/>
      <c r="AR10" s="41"/>
      <c r="AS10" s="68"/>
      <c r="AT10" s="12"/>
      <c r="AU10" s="12"/>
      <c r="AV10" s="12"/>
      <c r="AW10" s="6"/>
      <c r="AX10" s="3"/>
      <c r="AY10" s="16"/>
      <c r="AZ10" s="9"/>
      <c r="BA10" s="17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</row>
    <row r="11" spans="1:92" ht="38.25" x14ac:dyDescent="0.25">
      <c r="A11" s="140"/>
      <c r="B11" s="140"/>
      <c r="C11" s="140"/>
      <c r="D11" s="140"/>
      <c r="E11" s="41"/>
      <c r="F11" s="398"/>
      <c r="G11" s="401"/>
      <c r="H11" s="404"/>
      <c r="I11" s="383"/>
      <c r="J11" s="383"/>
      <c r="K11" s="383"/>
      <c r="L11" s="383"/>
      <c r="M11" s="415"/>
      <c r="N11" s="415"/>
      <c r="O11" s="415"/>
      <c r="P11" s="139" t="s">
        <v>7</v>
      </c>
      <c r="Q11" s="139" t="s">
        <v>8</v>
      </c>
      <c r="R11" s="139" t="s">
        <v>10</v>
      </c>
      <c r="S11" s="278" t="s">
        <v>267</v>
      </c>
      <c r="T11" s="139" t="s">
        <v>216</v>
      </c>
      <c r="U11" s="188" t="s">
        <v>166</v>
      </c>
      <c r="V11" s="139" t="s">
        <v>9</v>
      </c>
      <c r="W11" s="139" t="s">
        <v>12</v>
      </c>
      <c r="X11" s="139" t="s">
        <v>13</v>
      </c>
      <c r="Y11" s="139" t="s">
        <v>14</v>
      </c>
      <c r="Z11" s="139" t="s">
        <v>15</v>
      </c>
      <c r="AA11" s="139" t="s">
        <v>16</v>
      </c>
      <c r="AB11" s="139" t="s">
        <v>17</v>
      </c>
      <c r="AC11" s="139" t="s">
        <v>18</v>
      </c>
      <c r="AD11" s="139" t="s">
        <v>19</v>
      </c>
      <c r="AE11" s="139" t="s">
        <v>21</v>
      </c>
      <c r="AF11" s="139" t="s">
        <v>8</v>
      </c>
      <c r="AG11" s="139"/>
      <c r="AH11" s="139" t="s">
        <v>22</v>
      </c>
      <c r="AI11" s="139" t="s">
        <v>23</v>
      </c>
      <c r="AJ11" s="139" t="s">
        <v>11</v>
      </c>
      <c r="AK11" s="139" t="s">
        <v>217</v>
      </c>
      <c r="AL11" s="185" t="s">
        <v>254</v>
      </c>
      <c r="AM11" s="187" t="s">
        <v>166</v>
      </c>
      <c r="AN11" s="414"/>
      <c r="AO11" s="360"/>
      <c r="AP11" s="357"/>
      <c r="AQ11" s="357"/>
      <c r="AR11" s="41"/>
      <c r="AS11" s="68"/>
      <c r="AT11" s="12"/>
      <c r="AU11" s="12"/>
      <c r="AV11" s="12"/>
      <c r="AW11" s="6"/>
      <c r="AX11" s="3"/>
      <c r="AY11" s="16"/>
      <c r="AZ11" s="9"/>
      <c r="BA11" s="17"/>
      <c r="BB11" s="9">
        <v>1</v>
      </c>
      <c r="BC11" s="9">
        <v>2</v>
      </c>
      <c r="BD11" s="9">
        <v>3</v>
      </c>
      <c r="BE11" s="9">
        <v>4</v>
      </c>
      <c r="BF11" s="9">
        <v>5</v>
      </c>
      <c r="BG11" s="9">
        <f>BF11+1</f>
        <v>6</v>
      </c>
      <c r="BH11" s="9">
        <f t="shared" ref="BH11:CG11" si="2">BG11+1</f>
        <v>7</v>
      </c>
      <c r="BI11" s="9">
        <f t="shared" si="2"/>
        <v>8</v>
      </c>
      <c r="BJ11" s="9">
        <f t="shared" si="2"/>
        <v>9</v>
      </c>
      <c r="BK11" s="9">
        <f t="shared" si="2"/>
        <v>10</v>
      </c>
      <c r="BL11" s="9">
        <f t="shared" si="2"/>
        <v>11</v>
      </c>
      <c r="BM11" s="9">
        <f t="shared" si="2"/>
        <v>12</v>
      </c>
      <c r="BN11" s="9">
        <f t="shared" si="2"/>
        <v>13</v>
      </c>
      <c r="BO11" s="9">
        <f t="shared" si="2"/>
        <v>14</v>
      </c>
      <c r="BP11" s="9">
        <f t="shared" si="2"/>
        <v>15</v>
      </c>
      <c r="BQ11" s="9">
        <f t="shared" si="2"/>
        <v>16</v>
      </c>
      <c r="BR11" s="9">
        <f t="shared" si="2"/>
        <v>17</v>
      </c>
      <c r="BS11" s="9">
        <f t="shared" si="2"/>
        <v>18</v>
      </c>
      <c r="BT11" s="9">
        <f t="shared" si="2"/>
        <v>19</v>
      </c>
      <c r="BU11" s="9">
        <f t="shared" si="2"/>
        <v>20</v>
      </c>
      <c r="BV11" s="9">
        <f t="shared" si="2"/>
        <v>21</v>
      </c>
      <c r="BW11" s="9">
        <f t="shared" si="2"/>
        <v>22</v>
      </c>
      <c r="BX11" s="9">
        <f t="shared" si="2"/>
        <v>23</v>
      </c>
      <c r="BY11" s="9">
        <f t="shared" si="2"/>
        <v>24</v>
      </c>
      <c r="BZ11" s="9">
        <f t="shared" si="2"/>
        <v>25</v>
      </c>
      <c r="CA11" s="9">
        <f t="shared" si="2"/>
        <v>26</v>
      </c>
      <c r="CB11" s="9">
        <f t="shared" si="2"/>
        <v>27</v>
      </c>
      <c r="CC11" s="9">
        <f t="shared" si="2"/>
        <v>28</v>
      </c>
      <c r="CD11" s="9">
        <f t="shared" si="2"/>
        <v>29</v>
      </c>
      <c r="CE11" s="9">
        <f t="shared" si="2"/>
        <v>30</v>
      </c>
      <c r="CF11" s="9">
        <f t="shared" si="2"/>
        <v>31</v>
      </c>
      <c r="CG11" s="9">
        <f t="shared" si="2"/>
        <v>32</v>
      </c>
      <c r="CH11" s="9">
        <f>CG11+1</f>
        <v>33</v>
      </c>
      <c r="CI11" s="9">
        <f>CH11+1</f>
        <v>34</v>
      </c>
      <c r="CJ11" s="9">
        <f>CI11+1</f>
        <v>35</v>
      </c>
      <c r="CK11" s="9">
        <f>CJ11+1</f>
        <v>36</v>
      </c>
      <c r="CL11" s="9">
        <f>CK11+1</f>
        <v>37</v>
      </c>
      <c r="CM11" s="9"/>
      <c r="CN11" s="9"/>
    </row>
    <row r="12" spans="1:92" ht="24.95" customHeight="1" x14ac:dyDescent="0.25">
      <c r="A12" s="140"/>
      <c r="B12" s="140"/>
      <c r="C12" s="140"/>
      <c r="D12" s="142">
        <v>1</v>
      </c>
      <c r="E12" s="63">
        <f t="shared" ref="E12:E20" si="3">IFERROR(VLOOKUP(MID($BA$3,D12,2),$AY$15:$AZ$54,2,FALSE),0)</f>
        <v>0</v>
      </c>
      <c r="F12" s="255" t="str">
        <f t="shared" ref="F12:T20" ca="1" si="4">IF($E12=0,"",OFFSET($BA$14,$E12,F$8))</f>
        <v/>
      </c>
      <c r="G12" s="256" t="str">
        <f t="shared" ca="1" si="4"/>
        <v/>
      </c>
      <c r="H12" s="257" t="str">
        <f t="shared" ca="1" si="4"/>
        <v/>
      </c>
      <c r="I12" s="258" t="str">
        <f t="shared" ca="1" si="4"/>
        <v/>
      </c>
      <c r="J12" s="259" t="str">
        <f t="shared" ca="1" si="4"/>
        <v/>
      </c>
      <c r="K12" s="259" t="str">
        <f t="shared" ca="1" si="4"/>
        <v/>
      </c>
      <c r="L12" s="259" t="str">
        <f t="shared" ca="1" si="4"/>
        <v/>
      </c>
      <c r="M12" s="260" t="str">
        <f t="shared" ca="1" si="4"/>
        <v/>
      </c>
      <c r="N12" s="259" t="str">
        <f t="shared" ca="1" si="4"/>
        <v/>
      </c>
      <c r="O12" s="259" t="str">
        <f t="shared" ca="1" si="4"/>
        <v/>
      </c>
      <c r="P12" s="261" t="str">
        <f t="shared" ca="1" si="4"/>
        <v/>
      </c>
      <c r="Q12" s="261" t="str">
        <f t="shared" ca="1" si="4"/>
        <v/>
      </c>
      <c r="R12" s="261" t="str">
        <f t="shared" ca="1" si="4"/>
        <v/>
      </c>
      <c r="S12" s="261" t="str">
        <f t="shared" ca="1" si="4"/>
        <v/>
      </c>
      <c r="T12" s="261" t="str">
        <f t="shared" ca="1" si="4"/>
        <v/>
      </c>
      <c r="U12" s="262" t="str">
        <f ca="1">IF($G12="","",SUM(P12:T12))</f>
        <v/>
      </c>
      <c r="V12" s="261" t="str">
        <f t="shared" ref="V12:AE20" ca="1" si="5">IF($E12=0,"",OFFSET($BA$14,$E12,V$8))</f>
        <v/>
      </c>
      <c r="W12" s="261" t="str">
        <f t="shared" ca="1" si="5"/>
        <v/>
      </c>
      <c r="X12" s="261" t="str">
        <f t="shared" ca="1" si="5"/>
        <v/>
      </c>
      <c r="Y12" s="261" t="str">
        <f t="shared" ca="1" si="5"/>
        <v/>
      </c>
      <c r="Z12" s="261" t="str">
        <f t="shared" ca="1" si="5"/>
        <v/>
      </c>
      <c r="AA12" s="261" t="str">
        <f t="shared" ca="1" si="5"/>
        <v/>
      </c>
      <c r="AB12" s="261" t="str">
        <f t="shared" ca="1" si="5"/>
        <v/>
      </c>
      <c r="AC12" s="261" t="str">
        <f t="shared" ca="1" si="5"/>
        <v/>
      </c>
      <c r="AD12" s="261" t="str">
        <f t="shared" ca="1" si="5"/>
        <v/>
      </c>
      <c r="AE12" s="261" t="str">
        <f t="shared" ca="1" si="5"/>
        <v/>
      </c>
      <c r="AF12" s="261" t="str">
        <f t="shared" ref="AF12:AL20" ca="1" si="6">IF($E12=0,"",OFFSET($BA$14,$E12,AF$8))</f>
        <v/>
      </c>
      <c r="AG12" s="261"/>
      <c r="AH12" s="261" t="str">
        <f t="shared" ca="1" si="6"/>
        <v/>
      </c>
      <c r="AI12" s="261" t="str">
        <f t="shared" ca="1" si="6"/>
        <v/>
      </c>
      <c r="AJ12" s="261" t="str">
        <f t="shared" ca="1" si="6"/>
        <v/>
      </c>
      <c r="AK12" s="263" t="str">
        <f t="shared" ca="1" si="6"/>
        <v/>
      </c>
      <c r="AL12" s="263" t="str">
        <f t="shared" ca="1" si="6"/>
        <v/>
      </c>
      <c r="AM12" s="262" t="str">
        <f ca="1">IF(G12="","",SUM(V12:AK12))</f>
        <v/>
      </c>
      <c r="AN12" s="264" t="str">
        <f t="shared" ref="AN12:AQ20" ca="1" si="7">IF($E12=0,"",OFFSET($BA$14,$E12,AN$8))</f>
        <v/>
      </c>
      <c r="AO12" s="264" t="str">
        <f t="shared" ca="1" si="7"/>
        <v/>
      </c>
      <c r="AP12" s="265" t="str">
        <f t="shared" ca="1" si="7"/>
        <v/>
      </c>
      <c r="AQ12" s="266" t="str">
        <f t="shared" ca="1" si="7"/>
        <v/>
      </c>
      <c r="AR12" s="41"/>
      <c r="AS12" s="69">
        <f ca="1">IF(OR(L12=" ",L12="",ISTEXT(L12)), 0,1)</f>
        <v>0</v>
      </c>
      <c r="AT12" s="18"/>
      <c r="AU12" s="18"/>
      <c r="AV12" s="12"/>
      <c r="AW12" s="6"/>
      <c r="AX12" s="3"/>
      <c r="AY12" s="16"/>
      <c r="AZ12" s="9"/>
      <c r="BA12" s="17"/>
      <c r="BB12" s="3"/>
      <c r="BC12" s="3"/>
      <c r="BD12" s="284" t="s">
        <v>112</v>
      </c>
      <c r="BE12" s="284" t="s">
        <v>4</v>
      </c>
      <c r="BF12" s="367" t="s">
        <v>246</v>
      </c>
      <c r="BG12" s="284" t="s">
        <v>160</v>
      </c>
      <c r="BH12" s="284" t="s">
        <v>5</v>
      </c>
      <c r="BI12" s="284" t="s">
        <v>161</v>
      </c>
      <c r="BJ12" s="284" t="s">
        <v>162</v>
      </c>
      <c r="BK12" s="284" t="s">
        <v>163</v>
      </c>
      <c r="BL12" s="284" t="s">
        <v>164</v>
      </c>
      <c r="BM12" s="364" t="s">
        <v>6</v>
      </c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  <c r="CG12" s="366"/>
      <c r="CH12" s="191"/>
      <c r="CI12" s="3"/>
      <c r="CJ12" s="3"/>
      <c r="CK12" s="3"/>
    </row>
    <row r="13" spans="1:92" ht="24.95" customHeight="1" x14ac:dyDescent="0.25">
      <c r="A13" s="140"/>
      <c r="B13" s="140"/>
      <c r="C13" s="140"/>
      <c r="D13" s="142">
        <v>3</v>
      </c>
      <c r="E13" s="63">
        <f t="shared" si="3"/>
        <v>0</v>
      </c>
      <c r="F13" s="200" t="str">
        <f t="shared" ca="1" si="4"/>
        <v/>
      </c>
      <c r="G13" s="201" t="str">
        <f t="shared" ca="1" si="4"/>
        <v/>
      </c>
      <c r="H13" s="267" t="str">
        <f t="shared" ca="1" si="4"/>
        <v/>
      </c>
      <c r="I13" s="268" t="str">
        <f t="shared" ca="1" si="4"/>
        <v/>
      </c>
      <c r="J13" s="269" t="str">
        <f t="shared" ca="1" si="4"/>
        <v/>
      </c>
      <c r="K13" s="269" t="str">
        <f t="shared" ca="1" si="4"/>
        <v/>
      </c>
      <c r="L13" s="269" t="str">
        <f t="shared" ca="1" si="4"/>
        <v/>
      </c>
      <c r="M13" s="270" t="str">
        <f t="shared" ca="1" si="4"/>
        <v/>
      </c>
      <c r="N13" s="269" t="str">
        <f t="shared" ca="1" si="4"/>
        <v/>
      </c>
      <c r="O13" s="269" t="str">
        <f t="shared" ca="1" si="4"/>
        <v/>
      </c>
      <c r="P13" s="271" t="str">
        <f t="shared" ca="1" si="4"/>
        <v/>
      </c>
      <c r="Q13" s="271" t="str">
        <f t="shared" ca="1" si="4"/>
        <v/>
      </c>
      <c r="R13" s="271" t="str">
        <f t="shared" ca="1" si="4"/>
        <v/>
      </c>
      <c r="S13" s="271" t="str">
        <f t="shared" ca="1" si="4"/>
        <v/>
      </c>
      <c r="T13" s="271" t="str">
        <f t="shared" ca="1" si="4"/>
        <v/>
      </c>
      <c r="U13" s="272" t="str">
        <f ca="1">IF($G13="","",SUM(P13:T13))</f>
        <v/>
      </c>
      <c r="V13" s="271" t="str">
        <f t="shared" ca="1" si="5"/>
        <v/>
      </c>
      <c r="W13" s="271" t="str">
        <f t="shared" ca="1" si="5"/>
        <v/>
      </c>
      <c r="X13" s="271" t="str">
        <f t="shared" ca="1" si="5"/>
        <v/>
      </c>
      <c r="Y13" s="271" t="str">
        <f t="shared" ca="1" si="5"/>
        <v/>
      </c>
      <c r="Z13" s="271" t="str">
        <f t="shared" ca="1" si="5"/>
        <v/>
      </c>
      <c r="AA13" s="271" t="str">
        <f t="shared" ca="1" si="5"/>
        <v/>
      </c>
      <c r="AB13" s="271" t="str">
        <f t="shared" ca="1" si="5"/>
        <v/>
      </c>
      <c r="AC13" s="271" t="str">
        <f t="shared" ca="1" si="5"/>
        <v/>
      </c>
      <c r="AD13" s="271" t="str">
        <f t="shared" ca="1" si="5"/>
        <v/>
      </c>
      <c r="AE13" s="271" t="str">
        <f t="shared" ca="1" si="5"/>
        <v/>
      </c>
      <c r="AF13" s="271" t="str">
        <f t="shared" ca="1" si="6"/>
        <v/>
      </c>
      <c r="AG13" s="271"/>
      <c r="AH13" s="271" t="str">
        <f t="shared" ca="1" si="6"/>
        <v/>
      </c>
      <c r="AI13" s="271" t="str">
        <f t="shared" ca="1" si="6"/>
        <v/>
      </c>
      <c r="AJ13" s="271" t="str">
        <f t="shared" ca="1" si="6"/>
        <v/>
      </c>
      <c r="AK13" s="273" t="str">
        <f t="shared" ca="1" si="6"/>
        <v/>
      </c>
      <c r="AL13" s="273" t="str">
        <f t="shared" ca="1" si="6"/>
        <v/>
      </c>
      <c r="AM13" s="272" t="str">
        <f ca="1">IF(G13="","",SUM(V13:AK13))</f>
        <v/>
      </c>
      <c r="AN13" s="274" t="str">
        <f t="shared" ca="1" si="7"/>
        <v/>
      </c>
      <c r="AO13" s="274" t="str">
        <f t="shared" ca="1" si="7"/>
        <v/>
      </c>
      <c r="AP13" s="275" t="str">
        <f t="shared" ca="1" si="7"/>
        <v/>
      </c>
      <c r="AQ13" s="276" t="str">
        <f t="shared" ca="1" si="7"/>
        <v/>
      </c>
      <c r="AR13" s="41"/>
      <c r="AS13" s="69">
        <f t="shared" ref="AS13:AS21" ca="1" si="8">IF(OR(L13=" ",L13="",ISTEXT(L13)), 0,1)</f>
        <v>0</v>
      </c>
      <c r="AT13" s="18"/>
      <c r="AU13" s="18"/>
      <c r="AV13" s="12"/>
      <c r="AW13" s="6"/>
      <c r="AX13" s="3"/>
      <c r="AY13" s="16"/>
      <c r="AZ13" s="9"/>
      <c r="BA13" s="17"/>
      <c r="BB13" s="3"/>
      <c r="BC13" s="3"/>
      <c r="BD13" s="285"/>
      <c r="BE13" s="285"/>
      <c r="BF13" s="368"/>
      <c r="BG13" s="285"/>
      <c r="BH13" s="285"/>
      <c r="BI13" s="285"/>
      <c r="BJ13" s="285"/>
      <c r="BK13" s="285"/>
      <c r="BL13" s="285"/>
      <c r="BM13" s="361" t="s">
        <v>24</v>
      </c>
      <c r="BN13" s="362"/>
      <c r="BO13" s="362"/>
      <c r="BP13" s="362"/>
      <c r="BQ13" s="363"/>
      <c r="BR13" s="361" t="s">
        <v>25</v>
      </c>
      <c r="BS13" s="362"/>
      <c r="BT13" s="362"/>
      <c r="BU13" s="362"/>
      <c r="BV13" s="362"/>
      <c r="BW13" s="362"/>
      <c r="BX13" s="362"/>
      <c r="BY13" s="362"/>
      <c r="BZ13" s="362"/>
      <c r="CA13" s="362"/>
      <c r="CB13" s="362"/>
      <c r="CC13" s="362"/>
      <c r="CD13" s="362"/>
      <c r="CE13" s="362"/>
      <c r="CF13" s="362"/>
      <c r="CG13" s="363"/>
      <c r="CH13" s="192"/>
      <c r="CI13" s="8"/>
      <c r="CJ13" s="8"/>
      <c r="CK13" s="8"/>
    </row>
    <row r="14" spans="1:92" ht="24.95" customHeight="1" x14ac:dyDescent="0.25">
      <c r="A14" s="140"/>
      <c r="B14" s="140"/>
      <c r="C14" s="140"/>
      <c r="D14" s="142">
        <v>5</v>
      </c>
      <c r="E14" s="63">
        <f t="shared" si="3"/>
        <v>0</v>
      </c>
      <c r="F14" s="193" t="str">
        <f t="shared" ca="1" si="4"/>
        <v/>
      </c>
      <c r="G14" s="194" t="str">
        <f t="shared" ca="1" si="4"/>
        <v/>
      </c>
      <c r="H14" s="215" t="str">
        <f t="shared" ca="1" si="4"/>
        <v/>
      </c>
      <c r="I14" s="196" t="str">
        <f t="shared" ca="1" si="4"/>
        <v/>
      </c>
      <c r="J14" s="197" t="str">
        <f t="shared" ca="1" si="4"/>
        <v/>
      </c>
      <c r="K14" s="197" t="str">
        <f t="shared" ca="1" si="4"/>
        <v/>
      </c>
      <c r="L14" s="197" t="str">
        <f t="shared" ca="1" si="4"/>
        <v/>
      </c>
      <c r="M14" s="195" t="str">
        <f t="shared" ca="1" si="4"/>
        <v/>
      </c>
      <c r="N14" s="197" t="str">
        <f t="shared" ca="1" si="4"/>
        <v/>
      </c>
      <c r="O14" s="197" t="str">
        <f t="shared" ca="1" si="4"/>
        <v/>
      </c>
      <c r="P14" s="221" t="str">
        <f t="shared" ca="1" si="4"/>
        <v/>
      </c>
      <c r="Q14" s="221" t="str">
        <f t="shared" ca="1" si="4"/>
        <v/>
      </c>
      <c r="R14" s="221" t="str">
        <f t="shared" ca="1" si="4"/>
        <v/>
      </c>
      <c r="S14" s="221" t="str">
        <f t="shared" ca="1" si="4"/>
        <v/>
      </c>
      <c r="T14" s="221" t="str">
        <f t="shared" ca="1" si="4"/>
        <v/>
      </c>
      <c r="U14" s="217" t="str">
        <f ca="1">IF($G14="","",SUM(P14:T14))</f>
        <v/>
      </c>
      <c r="V14" s="221" t="str">
        <f t="shared" ca="1" si="5"/>
        <v/>
      </c>
      <c r="W14" s="221" t="str">
        <f t="shared" ca="1" si="5"/>
        <v/>
      </c>
      <c r="X14" s="221" t="str">
        <f t="shared" ca="1" si="5"/>
        <v/>
      </c>
      <c r="Y14" s="221" t="str">
        <f t="shared" ca="1" si="5"/>
        <v/>
      </c>
      <c r="Z14" s="221" t="str">
        <f t="shared" ca="1" si="5"/>
        <v/>
      </c>
      <c r="AA14" s="221" t="str">
        <f t="shared" ca="1" si="5"/>
        <v/>
      </c>
      <c r="AB14" s="221" t="str">
        <f t="shared" ca="1" si="5"/>
        <v/>
      </c>
      <c r="AC14" s="221" t="str">
        <f t="shared" ca="1" si="5"/>
        <v/>
      </c>
      <c r="AD14" s="221" t="str">
        <f t="shared" ca="1" si="5"/>
        <v/>
      </c>
      <c r="AE14" s="221" t="str">
        <f t="shared" ca="1" si="5"/>
        <v/>
      </c>
      <c r="AF14" s="221" t="str">
        <f t="shared" ca="1" si="6"/>
        <v/>
      </c>
      <c r="AG14" s="221"/>
      <c r="AH14" s="221" t="str">
        <f t="shared" ca="1" si="6"/>
        <v/>
      </c>
      <c r="AI14" s="221" t="str">
        <f t="shared" ca="1" si="6"/>
        <v/>
      </c>
      <c r="AJ14" s="221" t="str">
        <f t="shared" ca="1" si="6"/>
        <v/>
      </c>
      <c r="AK14" s="223" t="str">
        <f t="shared" ca="1" si="6"/>
        <v/>
      </c>
      <c r="AL14" s="223" t="str">
        <f t="shared" ca="1" si="6"/>
        <v/>
      </c>
      <c r="AM14" s="217" t="str">
        <f ca="1">IF(G14="","",SUM(V14:AK14))</f>
        <v/>
      </c>
      <c r="AN14" s="253" t="str">
        <f t="shared" ca="1" si="7"/>
        <v/>
      </c>
      <c r="AO14" s="253" t="str">
        <f t="shared" ca="1" si="7"/>
        <v/>
      </c>
      <c r="AP14" s="198" t="str">
        <f t="shared" ca="1" si="7"/>
        <v/>
      </c>
      <c r="AQ14" s="199" t="str">
        <f t="shared" ca="1" si="7"/>
        <v/>
      </c>
      <c r="AR14" s="41"/>
      <c r="AS14" s="69">
        <f t="shared" ca="1" si="8"/>
        <v>0</v>
      </c>
      <c r="AT14" s="18"/>
      <c r="AU14" s="18"/>
      <c r="AV14" s="12"/>
      <c r="AW14" s="6"/>
      <c r="AX14" s="3"/>
      <c r="AY14" s="16"/>
      <c r="AZ14" s="9"/>
      <c r="BA14" s="17"/>
      <c r="BB14" s="3"/>
      <c r="BC14" s="3"/>
      <c r="BD14" s="295"/>
      <c r="BE14" s="295"/>
      <c r="BF14" s="369"/>
      <c r="BG14" s="295"/>
      <c r="BH14" s="295"/>
      <c r="BI14" s="295"/>
      <c r="BJ14" s="295"/>
      <c r="BK14" s="295"/>
      <c r="BL14" s="295"/>
      <c r="BM14" s="67" t="s">
        <v>7</v>
      </c>
      <c r="BN14" s="67" t="s">
        <v>8</v>
      </c>
      <c r="BO14" s="67" t="s">
        <v>10</v>
      </c>
      <c r="BP14" s="279" t="s">
        <v>271</v>
      </c>
      <c r="BQ14" s="67" t="s">
        <v>216</v>
      </c>
      <c r="BR14" s="67" t="s">
        <v>9</v>
      </c>
      <c r="BS14" s="67" t="s">
        <v>12</v>
      </c>
      <c r="BT14" s="67" t="s">
        <v>13</v>
      </c>
      <c r="BU14" s="67" t="s">
        <v>14</v>
      </c>
      <c r="BV14" s="67" t="s">
        <v>15</v>
      </c>
      <c r="BW14" s="67" t="s">
        <v>16</v>
      </c>
      <c r="BX14" s="67" t="s">
        <v>17</v>
      </c>
      <c r="BY14" s="67" t="s">
        <v>18</v>
      </c>
      <c r="BZ14" s="67" t="s">
        <v>19</v>
      </c>
      <c r="CA14" s="67" t="s">
        <v>20</v>
      </c>
      <c r="CB14" s="67" t="s">
        <v>21</v>
      </c>
      <c r="CC14" s="67" t="s">
        <v>8</v>
      </c>
      <c r="CD14" s="67" t="s">
        <v>22</v>
      </c>
      <c r="CE14" s="67" t="s">
        <v>23</v>
      </c>
      <c r="CF14" s="67" t="s">
        <v>11</v>
      </c>
      <c r="CG14" s="67" t="s">
        <v>217</v>
      </c>
      <c r="CH14" s="186" t="s">
        <v>254</v>
      </c>
      <c r="CI14" s="138" t="s">
        <v>155</v>
      </c>
      <c r="CJ14" s="184" t="s">
        <v>264</v>
      </c>
      <c r="CK14" s="138" t="s">
        <v>209</v>
      </c>
      <c r="CL14" s="178" t="s">
        <v>239</v>
      </c>
    </row>
    <row r="15" spans="1:92" s="168" customFormat="1" ht="24.95" customHeight="1" x14ac:dyDescent="0.25">
      <c r="A15" s="140"/>
      <c r="B15" s="166"/>
      <c r="C15" s="166"/>
      <c r="D15" s="142">
        <v>7</v>
      </c>
      <c r="E15" s="63">
        <f>IFERROR(VLOOKUP(MID($BA$3,D15,2),$AY$15:$AZ$54,2,FALSE),0)</f>
        <v>0</v>
      </c>
      <c r="F15" s="200" t="str">
        <f t="shared" ca="1" si="4"/>
        <v/>
      </c>
      <c r="G15" s="201" t="str">
        <f t="shared" ca="1" si="4"/>
        <v/>
      </c>
      <c r="H15" s="215" t="str">
        <f t="shared" ca="1" si="4"/>
        <v/>
      </c>
      <c r="I15" s="196" t="str">
        <f t="shared" ca="1" si="4"/>
        <v/>
      </c>
      <c r="J15" s="197" t="str">
        <f t="shared" ca="1" si="4"/>
        <v/>
      </c>
      <c r="K15" s="197" t="str">
        <f t="shared" ca="1" si="4"/>
        <v/>
      </c>
      <c r="L15" s="197" t="str">
        <f t="shared" ca="1" si="4"/>
        <v/>
      </c>
      <c r="M15" s="195" t="str">
        <f t="shared" ca="1" si="4"/>
        <v/>
      </c>
      <c r="N15" s="197" t="str">
        <f t="shared" ca="1" si="4"/>
        <v/>
      </c>
      <c r="O15" s="197" t="str">
        <f t="shared" ca="1" si="4"/>
        <v/>
      </c>
      <c r="P15" s="221" t="str">
        <f t="shared" ca="1" si="4"/>
        <v/>
      </c>
      <c r="Q15" s="221" t="str">
        <f t="shared" ca="1" si="4"/>
        <v/>
      </c>
      <c r="R15" s="221" t="str">
        <f t="shared" ca="1" si="4"/>
        <v/>
      </c>
      <c r="S15" s="221" t="str">
        <f t="shared" ca="1" si="4"/>
        <v/>
      </c>
      <c r="T15" s="221" t="str">
        <f t="shared" ca="1" si="4"/>
        <v/>
      </c>
      <c r="U15" s="217" t="str">
        <f t="shared" ref="U15:U20" ca="1" si="9">IF($G15="","",SUM(P15:T15))</f>
        <v/>
      </c>
      <c r="V15" s="221" t="str">
        <f t="shared" ca="1" si="5"/>
        <v/>
      </c>
      <c r="W15" s="221" t="str">
        <f t="shared" ca="1" si="5"/>
        <v/>
      </c>
      <c r="X15" s="221" t="str">
        <f t="shared" ca="1" si="5"/>
        <v/>
      </c>
      <c r="Y15" s="221" t="str">
        <f t="shared" ca="1" si="5"/>
        <v/>
      </c>
      <c r="Z15" s="221" t="str">
        <f t="shared" ca="1" si="5"/>
        <v/>
      </c>
      <c r="AA15" s="221" t="str">
        <f t="shared" ca="1" si="5"/>
        <v/>
      </c>
      <c r="AB15" s="221" t="str">
        <f t="shared" ca="1" si="5"/>
        <v/>
      </c>
      <c r="AC15" s="221" t="str">
        <f t="shared" ca="1" si="5"/>
        <v/>
      </c>
      <c r="AD15" s="221" t="str">
        <f t="shared" ca="1" si="5"/>
        <v/>
      </c>
      <c r="AE15" s="221" t="str">
        <f t="shared" ca="1" si="5"/>
        <v/>
      </c>
      <c r="AF15" s="221" t="str">
        <f t="shared" ca="1" si="6"/>
        <v/>
      </c>
      <c r="AG15" s="221"/>
      <c r="AH15" s="221" t="str">
        <f t="shared" ca="1" si="6"/>
        <v/>
      </c>
      <c r="AI15" s="221" t="str">
        <f t="shared" ca="1" si="6"/>
        <v/>
      </c>
      <c r="AJ15" s="221" t="str">
        <f t="shared" ca="1" si="6"/>
        <v/>
      </c>
      <c r="AK15" s="223" t="str">
        <f t="shared" ca="1" si="6"/>
        <v/>
      </c>
      <c r="AL15" s="223" t="str">
        <f t="shared" ca="1" si="6"/>
        <v/>
      </c>
      <c r="AM15" s="217" t="str">
        <f t="shared" ref="AM15:AM20" ca="1" si="10">IF(G15="","",SUM(V15:AK15))</f>
        <v/>
      </c>
      <c r="AN15" s="253" t="str">
        <f t="shared" ca="1" si="7"/>
        <v/>
      </c>
      <c r="AO15" s="253" t="str">
        <f t="shared" ca="1" si="7"/>
        <v/>
      </c>
      <c r="AP15" s="198" t="str">
        <f t="shared" ca="1" si="7"/>
        <v/>
      </c>
      <c r="AQ15" s="199" t="str">
        <f t="shared" ca="1" si="7"/>
        <v/>
      </c>
      <c r="AR15" s="41"/>
      <c r="AS15" s="169">
        <f t="shared" ca="1" si="8"/>
        <v>0</v>
      </c>
      <c r="AT15" s="170"/>
      <c r="AU15" s="170"/>
      <c r="AV15" s="171"/>
      <c r="AX15" s="82">
        <f>IF(OR(BD15="",ISTEXT(BD15)),0,1)</f>
        <v>0</v>
      </c>
      <c r="AY15" s="172" t="s">
        <v>113</v>
      </c>
      <c r="AZ15" s="86">
        <v>1</v>
      </c>
      <c r="BA15" s="173" t="str">
        <f t="shared" ref="BA15:BA54" si="11">IF(AX15=1,AY15,"")</f>
        <v/>
      </c>
      <c r="BB15" s="167" t="s">
        <v>108</v>
      </c>
      <c r="BC15" s="174">
        <v>1</v>
      </c>
      <c r="BD15" s="175" t="str">
        <f>IF(G35="","",G35)</f>
        <v>No more values:</v>
      </c>
      <c r="BE15" s="176" t="str">
        <f>IF(H35="","",H35)</f>
        <v>No more values:</v>
      </c>
      <c r="BF15" s="176" t="str">
        <f>IF(I35="","",I35)</f>
        <v/>
      </c>
      <c r="BG15" s="176" t="str">
        <f>IF(J35="","",J35)</f>
        <v/>
      </c>
      <c r="BH15" s="176" t="str">
        <f t="shared" ref="BH15:BP16" si="12">IF(K35="","",K35)</f>
        <v/>
      </c>
      <c r="BI15" s="176" t="str">
        <f t="shared" si="12"/>
        <v/>
      </c>
      <c r="BJ15" s="176" t="str">
        <f t="shared" si="12"/>
        <v/>
      </c>
      <c r="BK15" s="176" t="str">
        <f t="shared" si="12"/>
        <v/>
      </c>
      <c r="BL15" s="176" t="str">
        <f t="shared" si="12"/>
        <v/>
      </c>
      <c r="BM15" s="176" t="str">
        <f t="shared" si="12"/>
        <v/>
      </c>
      <c r="BN15" s="176" t="str">
        <f t="shared" si="12"/>
        <v/>
      </c>
      <c r="BO15" s="176" t="str">
        <f t="shared" si="12"/>
        <v/>
      </c>
      <c r="BP15" s="176" t="str">
        <f t="shared" si="12"/>
        <v/>
      </c>
      <c r="BQ15" s="176" t="str">
        <f>IF(T35="","",T35)</f>
        <v/>
      </c>
      <c r="BR15" s="176" t="str">
        <f t="shared" ref="BR15:CF15" si="13">IF(V35="","",V35)</f>
        <v/>
      </c>
      <c r="BS15" s="176" t="str">
        <f t="shared" si="13"/>
        <v/>
      </c>
      <c r="BT15" s="176" t="str">
        <f t="shared" si="13"/>
        <v/>
      </c>
      <c r="BU15" s="176" t="str">
        <f t="shared" si="13"/>
        <v/>
      </c>
      <c r="BV15" s="176" t="str">
        <f t="shared" si="13"/>
        <v/>
      </c>
      <c r="BW15" s="176" t="str">
        <f t="shared" si="13"/>
        <v/>
      </c>
      <c r="BX15" s="176" t="str">
        <f t="shared" si="13"/>
        <v/>
      </c>
      <c r="BY15" s="176" t="str">
        <f t="shared" si="13"/>
        <v/>
      </c>
      <c r="BZ15" s="176" t="str">
        <f t="shared" si="13"/>
        <v/>
      </c>
      <c r="CA15" s="176" t="str">
        <f t="shared" si="13"/>
        <v/>
      </c>
      <c r="CB15" s="176" t="str">
        <f t="shared" si="13"/>
        <v/>
      </c>
      <c r="CC15" s="176" t="str">
        <f t="shared" si="13"/>
        <v/>
      </c>
      <c r="CD15" s="176" t="str">
        <f t="shared" si="13"/>
        <v/>
      </c>
      <c r="CE15" s="176" t="str">
        <f t="shared" si="13"/>
        <v/>
      </c>
      <c r="CF15" s="176" t="str">
        <f t="shared" si="13"/>
        <v/>
      </c>
      <c r="CG15" s="176" t="str">
        <f>IF(AK35="","",AK35)</f>
        <v/>
      </c>
      <c r="CH15" s="176" t="str">
        <f>IF(OR(AL35="",ISTEXT(AL35)),"",AL35)</f>
        <v/>
      </c>
      <c r="CI15" s="176" t="str">
        <f t="shared" ref="CI15:CI24" si="14">IF(AO35="","",AO35)</f>
        <v/>
      </c>
      <c r="CJ15" s="176" t="str">
        <f t="shared" ref="CJ15:CJ24" si="15">IF(AP35="","",AP35)</f>
        <v/>
      </c>
      <c r="CK15" s="177" t="str">
        <f t="shared" ref="CK15:CK24" si="16">IF(AQ35="","",AQ35)</f>
        <v/>
      </c>
      <c r="CL15" s="179" t="str">
        <f t="shared" ref="CL15:CL24" si="17">IF(AR35="","",AR35)</f>
        <v/>
      </c>
    </row>
    <row r="16" spans="1:92" ht="24.95" customHeight="1" x14ac:dyDescent="0.25">
      <c r="A16" s="140"/>
      <c r="B16" s="140"/>
      <c r="C16" s="140"/>
      <c r="D16" s="142">
        <v>9</v>
      </c>
      <c r="E16" s="63">
        <f t="shared" si="3"/>
        <v>0</v>
      </c>
      <c r="F16" s="200" t="str">
        <f t="shared" ca="1" si="4"/>
        <v/>
      </c>
      <c r="G16" s="201" t="str">
        <f t="shared" ca="1" si="4"/>
        <v/>
      </c>
      <c r="H16" s="215" t="str">
        <f t="shared" ca="1" si="4"/>
        <v/>
      </c>
      <c r="I16" s="196" t="str">
        <f t="shared" ca="1" si="4"/>
        <v/>
      </c>
      <c r="J16" s="197" t="str">
        <f t="shared" ca="1" si="4"/>
        <v/>
      </c>
      <c r="K16" s="197" t="str">
        <f t="shared" ca="1" si="4"/>
        <v/>
      </c>
      <c r="L16" s="197" t="str">
        <f t="shared" ca="1" si="4"/>
        <v/>
      </c>
      <c r="M16" s="195" t="str">
        <f t="shared" ca="1" si="4"/>
        <v/>
      </c>
      <c r="N16" s="197" t="str">
        <f t="shared" ca="1" si="4"/>
        <v/>
      </c>
      <c r="O16" s="197" t="str">
        <f t="shared" ca="1" si="4"/>
        <v/>
      </c>
      <c r="P16" s="221" t="str">
        <f t="shared" ca="1" si="4"/>
        <v/>
      </c>
      <c r="Q16" s="271" t="str">
        <f t="shared" ca="1" si="4"/>
        <v/>
      </c>
      <c r="R16" s="271" t="str">
        <f t="shared" ca="1" si="4"/>
        <v/>
      </c>
      <c r="S16" s="271" t="str">
        <f t="shared" ca="1" si="4"/>
        <v/>
      </c>
      <c r="T16" s="271" t="str">
        <f t="shared" ca="1" si="4"/>
        <v/>
      </c>
      <c r="U16" s="272" t="str">
        <f t="shared" ca="1" si="9"/>
        <v/>
      </c>
      <c r="V16" s="271" t="str">
        <f t="shared" ca="1" si="5"/>
        <v/>
      </c>
      <c r="W16" s="271" t="str">
        <f t="shared" ca="1" si="5"/>
        <v/>
      </c>
      <c r="X16" s="271" t="str">
        <f t="shared" ca="1" si="5"/>
        <v/>
      </c>
      <c r="Y16" s="271" t="str">
        <f t="shared" ca="1" si="5"/>
        <v/>
      </c>
      <c r="Z16" s="271" t="str">
        <f t="shared" ca="1" si="5"/>
        <v/>
      </c>
      <c r="AA16" s="271" t="str">
        <f t="shared" ca="1" si="5"/>
        <v/>
      </c>
      <c r="AB16" s="271" t="str">
        <f t="shared" ca="1" si="5"/>
        <v/>
      </c>
      <c r="AC16" s="271" t="str">
        <f t="shared" ca="1" si="5"/>
        <v/>
      </c>
      <c r="AD16" s="271" t="str">
        <f t="shared" ca="1" si="5"/>
        <v/>
      </c>
      <c r="AE16" s="271" t="str">
        <f t="shared" ca="1" si="5"/>
        <v/>
      </c>
      <c r="AF16" s="271" t="str">
        <f t="shared" ca="1" si="6"/>
        <v/>
      </c>
      <c r="AG16" s="271"/>
      <c r="AH16" s="271" t="str">
        <f t="shared" ca="1" si="6"/>
        <v/>
      </c>
      <c r="AI16" s="221" t="str">
        <f t="shared" ca="1" si="6"/>
        <v/>
      </c>
      <c r="AJ16" s="221" t="str">
        <f t="shared" ca="1" si="6"/>
        <v/>
      </c>
      <c r="AK16" s="223" t="str">
        <f t="shared" ca="1" si="6"/>
        <v/>
      </c>
      <c r="AL16" s="223" t="str">
        <f t="shared" ca="1" si="6"/>
        <v/>
      </c>
      <c r="AM16" s="217" t="str">
        <f t="shared" ca="1" si="10"/>
        <v/>
      </c>
      <c r="AN16" s="253" t="str">
        <f t="shared" ca="1" si="7"/>
        <v/>
      </c>
      <c r="AO16" s="253" t="str">
        <f t="shared" ca="1" si="7"/>
        <v/>
      </c>
      <c r="AP16" s="198" t="str">
        <f t="shared" ca="1" si="7"/>
        <v/>
      </c>
      <c r="AQ16" s="199" t="str">
        <f t="shared" ca="1" si="7"/>
        <v/>
      </c>
      <c r="AR16" s="41"/>
      <c r="AS16" s="69">
        <f t="shared" ca="1" si="8"/>
        <v>0</v>
      </c>
      <c r="AT16" s="18"/>
      <c r="AU16" s="18"/>
      <c r="AV16" s="12"/>
      <c r="AW16" s="6"/>
      <c r="AX16" s="3">
        <f t="shared" ref="AX16:AX54" si="18">IF(OR(BD16="",ISTEXT(BD16)),0,1)</f>
        <v>0</v>
      </c>
      <c r="AY16" s="19" t="s">
        <v>114</v>
      </c>
      <c r="AZ16" s="9">
        <v>2</v>
      </c>
      <c r="BA16" s="17" t="str">
        <f t="shared" si="11"/>
        <v/>
      </c>
      <c r="BB16" s="88" t="s">
        <v>108</v>
      </c>
      <c r="BC16" s="20">
        <v>2</v>
      </c>
      <c r="BD16" s="158" t="str">
        <f t="shared" ref="BD16:BD24" si="19">IF(G36="","",G36)</f>
        <v>No more values:</v>
      </c>
      <c r="BE16" s="176" t="str">
        <f>IF(H36="","",H36)</f>
        <v>No more values:</v>
      </c>
      <c r="BF16" s="176" t="str">
        <f t="shared" ref="BF16:BF24" si="20">IF(I36="","",I36)</f>
        <v/>
      </c>
      <c r="BG16" s="176" t="str">
        <f>IF(J36="","",J36)</f>
        <v/>
      </c>
      <c r="BH16" s="176" t="str">
        <f t="shared" si="12"/>
        <v/>
      </c>
      <c r="BI16" s="176" t="str">
        <f t="shared" si="12"/>
        <v/>
      </c>
      <c r="BJ16" s="176" t="str">
        <f t="shared" si="12"/>
        <v/>
      </c>
      <c r="BK16" s="176" t="str">
        <f t="shared" si="12"/>
        <v/>
      </c>
      <c r="BL16" s="176" t="str">
        <f t="shared" si="12"/>
        <v/>
      </c>
      <c r="BM16" s="176" t="str">
        <f t="shared" ref="BM16:BM24" si="21">IF(P36="","",P36)</f>
        <v/>
      </c>
      <c r="BN16" s="176" t="str">
        <f t="shared" ref="BN16:BN24" si="22">IF(Q36="","",Q36)</f>
        <v/>
      </c>
      <c r="BO16" s="176" t="str">
        <f t="shared" ref="BO16:BO24" si="23">IF(R36="","",R36)</f>
        <v/>
      </c>
      <c r="BP16" s="176" t="str">
        <f t="shared" ref="BP16:BQ24" si="24">IF(S36="","",S36)</f>
        <v/>
      </c>
      <c r="BQ16" s="176" t="str">
        <f t="shared" ref="BQ16:BQ24" si="25">IF(T36="","",T36)</f>
        <v/>
      </c>
      <c r="BR16" s="176" t="str">
        <f>IF(V36="","",V36)</f>
        <v/>
      </c>
      <c r="BS16" s="176" t="str">
        <f t="shared" ref="BS16:BS24" si="26">IF(W36="","",W36)</f>
        <v/>
      </c>
      <c r="BT16" s="176" t="str">
        <f>IF(X36="","",X36)</f>
        <v/>
      </c>
      <c r="BU16" s="176" t="str">
        <f t="shared" ref="BT16:BU24" si="27">IF(Y36="","",Y36)</f>
        <v/>
      </c>
      <c r="BV16" s="176" t="str">
        <f t="shared" ref="BV16:BV24" si="28">IF(Z36="","",Z36)</f>
        <v/>
      </c>
      <c r="BW16" s="176" t="str">
        <f t="shared" ref="BW16:BW24" si="29">IF(AA36="","",AA36)</f>
        <v/>
      </c>
      <c r="BX16" s="176" t="str">
        <f t="shared" ref="BX16:BX24" si="30">IF(AB36="","",AB36)</f>
        <v/>
      </c>
      <c r="BY16" s="176" t="str">
        <f t="shared" ref="BY16:BY24" si="31">IF(AC36="","",AC36)</f>
        <v/>
      </c>
      <c r="BZ16" s="176" t="str">
        <f t="shared" ref="BZ16:BZ24" si="32">IF(AD36="","",AD36)</f>
        <v/>
      </c>
      <c r="CA16" s="176" t="str">
        <f t="shared" ref="CA16:CA24" si="33">IF(AE36="","",AE36)</f>
        <v/>
      </c>
      <c r="CB16" s="176" t="str">
        <f t="shared" ref="CB16:CC24" si="34">IF(AF36="","",AF36)</f>
        <v/>
      </c>
      <c r="CC16" s="176" t="str">
        <f t="shared" si="34"/>
        <v/>
      </c>
      <c r="CD16" s="176" t="str">
        <f t="shared" ref="CD16:CD24" si="35">IF(AH36="","",AH36)</f>
        <v/>
      </c>
      <c r="CE16" s="176" t="str">
        <f t="shared" ref="CE16:CE24" si="36">IF(AI36="","",AI36)</f>
        <v/>
      </c>
      <c r="CF16" s="176" t="str">
        <f t="shared" ref="CF16:CF24" si="37">IF(AJ36="","",AJ36)</f>
        <v/>
      </c>
      <c r="CG16" s="176" t="str">
        <f t="shared" ref="CG16:CG24" si="38">IF(AK36="","",AK36)</f>
        <v/>
      </c>
      <c r="CH16" s="176" t="str">
        <f t="shared" ref="CH16:CH23" si="39">IF(OR(AL36="",ISTEXT(AL36)),"",AL36)</f>
        <v/>
      </c>
      <c r="CI16" s="176" t="str">
        <f t="shared" si="14"/>
        <v/>
      </c>
      <c r="CJ16" s="176" t="str">
        <f t="shared" si="15"/>
        <v/>
      </c>
      <c r="CK16" s="160" t="str">
        <f t="shared" si="16"/>
        <v/>
      </c>
      <c r="CL16" s="179" t="str">
        <f t="shared" si="17"/>
        <v/>
      </c>
    </row>
    <row r="17" spans="1:90" ht="24.95" customHeight="1" x14ac:dyDescent="0.25">
      <c r="A17" s="140"/>
      <c r="B17" s="140"/>
      <c r="C17" s="140"/>
      <c r="D17" s="142">
        <v>11</v>
      </c>
      <c r="E17" s="63">
        <f t="shared" si="3"/>
        <v>0</v>
      </c>
      <c r="F17" s="193" t="str">
        <f t="shared" ca="1" si="4"/>
        <v/>
      </c>
      <c r="G17" s="194" t="str">
        <f t="shared" ca="1" si="4"/>
        <v/>
      </c>
      <c r="H17" s="215" t="str">
        <f t="shared" ca="1" si="4"/>
        <v/>
      </c>
      <c r="I17" s="196" t="str">
        <f t="shared" ca="1" si="4"/>
        <v/>
      </c>
      <c r="J17" s="197" t="str">
        <f t="shared" ca="1" si="4"/>
        <v/>
      </c>
      <c r="K17" s="197" t="str">
        <f t="shared" ca="1" si="4"/>
        <v/>
      </c>
      <c r="L17" s="197" t="str">
        <f t="shared" ca="1" si="4"/>
        <v/>
      </c>
      <c r="M17" s="195" t="str">
        <f t="shared" ca="1" si="4"/>
        <v/>
      </c>
      <c r="N17" s="197" t="str">
        <f t="shared" ca="1" si="4"/>
        <v/>
      </c>
      <c r="O17" s="197" t="str">
        <f t="shared" ca="1" si="4"/>
        <v/>
      </c>
      <c r="P17" s="221" t="str">
        <f t="shared" ca="1" si="4"/>
        <v/>
      </c>
      <c r="Q17" s="271" t="str">
        <f t="shared" ca="1" si="4"/>
        <v/>
      </c>
      <c r="R17" s="271" t="str">
        <f t="shared" ca="1" si="4"/>
        <v/>
      </c>
      <c r="S17" s="271" t="str">
        <f t="shared" ca="1" si="4"/>
        <v/>
      </c>
      <c r="T17" s="271" t="str">
        <f t="shared" ca="1" si="4"/>
        <v/>
      </c>
      <c r="U17" s="272" t="str">
        <f t="shared" ca="1" si="9"/>
        <v/>
      </c>
      <c r="V17" s="271" t="str">
        <f t="shared" ca="1" si="5"/>
        <v/>
      </c>
      <c r="W17" s="271" t="str">
        <f t="shared" ca="1" si="5"/>
        <v/>
      </c>
      <c r="X17" s="271" t="str">
        <f t="shared" ca="1" si="5"/>
        <v/>
      </c>
      <c r="Y17" s="271" t="str">
        <f t="shared" ca="1" si="5"/>
        <v/>
      </c>
      <c r="Z17" s="271" t="str">
        <f t="shared" ca="1" si="5"/>
        <v/>
      </c>
      <c r="AA17" s="271" t="str">
        <f t="shared" ca="1" si="5"/>
        <v/>
      </c>
      <c r="AB17" s="271" t="str">
        <f t="shared" ca="1" si="5"/>
        <v/>
      </c>
      <c r="AC17" s="271" t="str">
        <f t="shared" ca="1" si="5"/>
        <v/>
      </c>
      <c r="AD17" s="271" t="str">
        <f t="shared" ca="1" si="5"/>
        <v/>
      </c>
      <c r="AE17" s="271" t="str">
        <f t="shared" ca="1" si="5"/>
        <v/>
      </c>
      <c r="AF17" s="271" t="str">
        <f t="shared" ca="1" si="6"/>
        <v/>
      </c>
      <c r="AG17" s="271"/>
      <c r="AH17" s="271" t="str">
        <f t="shared" ca="1" si="6"/>
        <v/>
      </c>
      <c r="AI17" s="221" t="str">
        <f t="shared" ca="1" si="6"/>
        <v/>
      </c>
      <c r="AJ17" s="221" t="str">
        <f t="shared" ca="1" si="6"/>
        <v/>
      </c>
      <c r="AK17" s="223" t="str">
        <f t="shared" ca="1" si="6"/>
        <v/>
      </c>
      <c r="AL17" s="223" t="str">
        <f t="shared" ca="1" si="6"/>
        <v/>
      </c>
      <c r="AM17" s="217" t="str">
        <f t="shared" ca="1" si="10"/>
        <v/>
      </c>
      <c r="AN17" s="253" t="str">
        <f t="shared" ca="1" si="7"/>
        <v/>
      </c>
      <c r="AO17" s="253" t="str">
        <f t="shared" ca="1" si="7"/>
        <v/>
      </c>
      <c r="AP17" s="198" t="str">
        <f t="shared" ca="1" si="7"/>
        <v/>
      </c>
      <c r="AQ17" s="199" t="str">
        <f t="shared" ca="1" si="7"/>
        <v/>
      </c>
      <c r="AR17" s="41"/>
      <c r="AS17" s="69">
        <f t="shared" ca="1" si="8"/>
        <v>0</v>
      </c>
      <c r="AT17" s="69"/>
      <c r="AU17" s="18"/>
      <c r="AV17" s="12"/>
      <c r="AW17" s="6"/>
      <c r="AX17" s="3">
        <f t="shared" si="18"/>
        <v>0</v>
      </c>
      <c r="AY17" s="19" t="s">
        <v>115</v>
      </c>
      <c r="AZ17" s="9">
        <v>3</v>
      </c>
      <c r="BA17" s="17" t="str">
        <f t="shared" si="11"/>
        <v/>
      </c>
      <c r="BB17" s="88" t="s">
        <v>108</v>
      </c>
      <c r="BC17" s="20">
        <v>3</v>
      </c>
      <c r="BD17" s="158" t="str">
        <f t="shared" si="19"/>
        <v/>
      </c>
      <c r="BE17" s="247" t="str">
        <f t="shared" ref="BE17:BE24" si="40">IF(H37="","",H37)</f>
        <v/>
      </c>
      <c r="BF17" s="248" t="str">
        <f t="shared" si="20"/>
        <v/>
      </c>
      <c r="BG17" s="247" t="str">
        <f t="shared" ref="BG17:BG24" si="41">IF(J37="","",J37)</f>
        <v/>
      </c>
      <c r="BH17" s="247" t="str">
        <f t="shared" ref="BH17:BH24" si="42">IF(K37="","",K37)</f>
        <v/>
      </c>
      <c r="BI17" s="247" t="str">
        <f t="shared" ref="BI17:BI24" si="43">IF(L37="","",L37)</f>
        <v/>
      </c>
      <c r="BJ17" s="247" t="str">
        <f t="shared" ref="BJ17:BJ24" si="44">IF(M37="","",M37)</f>
        <v/>
      </c>
      <c r="BK17" s="247" t="str">
        <f t="shared" ref="BK17:BK24" si="45">IF(N37="","",N37)</f>
        <v/>
      </c>
      <c r="BL17" s="247" t="str">
        <f t="shared" ref="BL17:BL24" si="46">IF(O37="","",O37)</f>
        <v/>
      </c>
      <c r="BM17" s="247" t="str">
        <f t="shared" si="21"/>
        <v/>
      </c>
      <c r="BN17" s="247" t="str">
        <f t="shared" si="22"/>
        <v/>
      </c>
      <c r="BO17" s="247" t="str">
        <f t="shared" si="23"/>
        <v/>
      </c>
      <c r="BP17" s="247" t="str">
        <f t="shared" si="24"/>
        <v/>
      </c>
      <c r="BQ17" s="247" t="str">
        <f t="shared" si="24"/>
        <v/>
      </c>
      <c r="BR17" s="247" t="str">
        <f t="shared" ref="BR17:BR24" si="47">IF(V37="","",V37)</f>
        <v/>
      </c>
      <c r="BS17" s="247" t="str">
        <f t="shared" si="26"/>
        <v/>
      </c>
      <c r="BT17" s="247" t="str">
        <f t="shared" si="27"/>
        <v/>
      </c>
      <c r="BU17" s="247" t="str">
        <f t="shared" si="27"/>
        <v/>
      </c>
      <c r="BV17" s="247" t="str">
        <f t="shared" si="28"/>
        <v/>
      </c>
      <c r="BW17" s="247" t="str">
        <f t="shared" si="29"/>
        <v/>
      </c>
      <c r="BX17" s="247" t="str">
        <f t="shared" si="30"/>
        <v/>
      </c>
      <c r="BY17" s="247" t="str">
        <f t="shared" si="31"/>
        <v/>
      </c>
      <c r="BZ17" s="247" t="str">
        <f t="shared" si="32"/>
        <v/>
      </c>
      <c r="CA17" s="247" t="str">
        <f t="shared" si="33"/>
        <v/>
      </c>
      <c r="CB17" s="247" t="str">
        <f t="shared" si="34"/>
        <v/>
      </c>
      <c r="CC17" s="247" t="str">
        <f t="shared" si="34"/>
        <v/>
      </c>
      <c r="CD17" s="247" t="str">
        <f t="shared" si="35"/>
        <v/>
      </c>
      <c r="CE17" s="247" t="str">
        <f t="shared" si="36"/>
        <v/>
      </c>
      <c r="CF17" s="247" t="str">
        <f t="shared" si="37"/>
        <v/>
      </c>
      <c r="CG17" s="247" t="str">
        <f t="shared" si="38"/>
        <v/>
      </c>
      <c r="CH17" s="248" t="str">
        <f t="shared" si="39"/>
        <v/>
      </c>
      <c r="CI17" s="247" t="str">
        <f t="shared" si="14"/>
        <v/>
      </c>
      <c r="CJ17" s="247" t="str">
        <f t="shared" si="15"/>
        <v/>
      </c>
      <c r="CK17" s="247" t="str">
        <f t="shared" si="16"/>
        <v/>
      </c>
      <c r="CL17" s="249" t="str">
        <f t="shared" si="17"/>
        <v/>
      </c>
    </row>
    <row r="18" spans="1:90" ht="24.95" customHeight="1" x14ac:dyDescent="0.25">
      <c r="A18" s="140"/>
      <c r="B18" s="140"/>
      <c r="C18" s="140"/>
      <c r="D18" s="142">
        <v>13</v>
      </c>
      <c r="E18" s="63">
        <f t="shared" si="3"/>
        <v>0</v>
      </c>
      <c r="F18" s="193" t="str">
        <f t="shared" ca="1" si="4"/>
        <v/>
      </c>
      <c r="G18" s="194" t="str">
        <f t="shared" ca="1" si="4"/>
        <v/>
      </c>
      <c r="H18" s="215" t="str">
        <f t="shared" ca="1" si="4"/>
        <v/>
      </c>
      <c r="I18" s="196" t="str">
        <f t="shared" ca="1" si="4"/>
        <v/>
      </c>
      <c r="J18" s="197" t="str">
        <f t="shared" ca="1" si="4"/>
        <v/>
      </c>
      <c r="K18" s="197" t="str">
        <f t="shared" ca="1" si="4"/>
        <v/>
      </c>
      <c r="L18" s="197" t="str">
        <f t="shared" ca="1" si="4"/>
        <v/>
      </c>
      <c r="M18" s="195" t="str">
        <f t="shared" ca="1" si="4"/>
        <v/>
      </c>
      <c r="N18" s="197" t="str">
        <f t="shared" ca="1" si="4"/>
        <v/>
      </c>
      <c r="O18" s="197" t="str">
        <f t="shared" ca="1" si="4"/>
        <v/>
      </c>
      <c r="P18" s="221" t="str">
        <f t="shared" ca="1" si="4"/>
        <v/>
      </c>
      <c r="Q18" s="221" t="str">
        <f t="shared" ca="1" si="4"/>
        <v/>
      </c>
      <c r="R18" s="221" t="str">
        <f t="shared" ca="1" si="4"/>
        <v/>
      </c>
      <c r="S18" s="221" t="str">
        <f t="shared" ca="1" si="4"/>
        <v/>
      </c>
      <c r="T18" s="221" t="str">
        <f t="shared" ca="1" si="4"/>
        <v/>
      </c>
      <c r="U18" s="217" t="str">
        <f t="shared" ca="1" si="9"/>
        <v/>
      </c>
      <c r="V18" s="221" t="str">
        <f t="shared" ca="1" si="5"/>
        <v/>
      </c>
      <c r="W18" s="221" t="str">
        <f t="shared" ca="1" si="5"/>
        <v/>
      </c>
      <c r="X18" s="221" t="str">
        <f t="shared" ca="1" si="5"/>
        <v/>
      </c>
      <c r="Y18" s="221" t="str">
        <f t="shared" ca="1" si="5"/>
        <v/>
      </c>
      <c r="Z18" s="221" t="str">
        <f t="shared" ca="1" si="5"/>
        <v/>
      </c>
      <c r="AA18" s="221" t="str">
        <f t="shared" ca="1" si="5"/>
        <v/>
      </c>
      <c r="AB18" s="221" t="str">
        <f t="shared" ca="1" si="5"/>
        <v/>
      </c>
      <c r="AC18" s="221" t="str">
        <f t="shared" ca="1" si="5"/>
        <v/>
      </c>
      <c r="AD18" s="221" t="str">
        <f t="shared" ca="1" si="5"/>
        <v/>
      </c>
      <c r="AE18" s="221" t="str">
        <f t="shared" ca="1" si="5"/>
        <v/>
      </c>
      <c r="AF18" s="221" t="str">
        <f t="shared" ca="1" si="6"/>
        <v/>
      </c>
      <c r="AG18" s="221"/>
      <c r="AH18" s="221" t="str">
        <f t="shared" ca="1" si="6"/>
        <v/>
      </c>
      <c r="AI18" s="221" t="str">
        <f t="shared" ca="1" si="6"/>
        <v/>
      </c>
      <c r="AJ18" s="221" t="str">
        <f t="shared" ca="1" si="6"/>
        <v/>
      </c>
      <c r="AK18" s="223" t="str">
        <f t="shared" ca="1" si="6"/>
        <v/>
      </c>
      <c r="AL18" s="223" t="str">
        <f t="shared" ca="1" si="6"/>
        <v/>
      </c>
      <c r="AM18" s="217" t="str">
        <f t="shared" ca="1" si="10"/>
        <v/>
      </c>
      <c r="AN18" s="253" t="str">
        <f t="shared" ca="1" si="7"/>
        <v/>
      </c>
      <c r="AO18" s="253" t="str">
        <f t="shared" ca="1" si="7"/>
        <v/>
      </c>
      <c r="AP18" s="198" t="str">
        <f t="shared" ca="1" si="7"/>
        <v/>
      </c>
      <c r="AQ18" s="199" t="str">
        <f t="shared" ca="1" si="7"/>
        <v/>
      </c>
      <c r="AR18" s="41"/>
      <c r="AS18" s="69">
        <f t="shared" ca="1" si="8"/>
        <v>0</v>
      </c>
      <c r="AT18" s="69"/>
      <c r="AU18" s="18"/>
      <c r="AV18" s="12"/>
      <c r="AW18" s="6"/>
      <c r="AX18" s="3">
        <f t="shared" si="18"/>
        <v>0</v>
      </c>
      <c r="AY18" s="19" t="s">
        <v>116</v>
      </c>
      <c r="AZ18" s="9">
        <v>4</v>
      </c>
      <c r="BA18" s="17" t="str">
        <f t="shared" si="11"/>
        <v/>
      </c>
      <c r="BB18" s="88" t="s">
        <v>108</v>
      </c>
      <c r="BC18" s="20">
        <v>4</v>
      </c>
      <c r="BD18" s="158" t="str">
        <f t="shared" si="19"/>
        <v/>
      </c>
      <c r="BE18" s="247" t="str">
        <f t="shared" si="40"/>
        <v/>
      </c>
      <c r="BF18" s="248" t="str">
        <f t="shared" si="20"/>
        <v/>
      </c>
      <c r="BG18" s="247" t="str">
        <f t="shared" si="41"/>
        <v/>
      </c>
      <c r="BH18" s="247" t="str">
        <f t="shared" si="42"/>
        <v/>
      </c>
      <c r="BI18" s="247" t="str">
        <f t="shared" si="43"/>
        <v/>
      </c>
      <c r="BJ18" s="247" t="str">
        <f t="shared" si="44"/>
        <v/>
      </c>
      <c r="BK18" s="247" t="str">
        <f t="shared" si="45"/>
        <v/>
      </c>
      <c r="BL18" s="247" t="str">
        <f t="shared" si="46"/>
        <v/>
      </c>
      <c r="BM18" s="247" t="str">
        <f t="shared" si="21"/>
        <v/>
      </c>
      <c r="BN18" s="247" t="str">
        <f t="shared" si="22"/>
        <v/>
      </c>
      <c r="BO18" s="247" t="str">
        <f t="shared" si="23"/>
        <v/>
      </c>
      <c r="BP18" s="247" t="str">
        <f t="shared" si="24"/>
        <v/>
      </c>
      <c r="BQ18" s="247" t="str">
        <f t="shared" si="25"/>
        <v/>
      </c>
      <c r="BR18" s="247" t="str">
        <f t="shared" si="47"/>
        <v/>
      </c>
      <c r="BS18" s="247" t="str">
        <f t="shared" si="26"/>
        <v/>
      </c>
      <c r="BT18" s="247" t="str">
        <f t="shared" si="27"/>
        <v/>
      </c>
      <c r="BU18" s="247" t="str">
        <f t="shared" si="27"/>
        <v/>
      </c>
      <c r="BV18" s="247" t="str">
        <f t="shared" si="28"/>
        <v/>
      </c>
      <c r="BW18" s="247" t="str">
        <f t="shared" si="29"/>
        <v/>
      </c>
      <c r="BX18" s="247" t="str">
        <f t="shared" si="30"/>
        <v/>
      </c>
      <c r="BY18" s="247" t="str">
        <f t="shared" si="31"/>
        <v/>
      </c>
      <c r="BZ18" s="247" t="str">
        <f t="shared" si="32"/>
        <v/>
      </c>
      <c r="CA18" s="247" t="str">
        <f t="shared" si="33"/>
        <v/>
      </c>
      <c r="CB18" s="247" t="str">
        <f t="shared" si="34"/>
        <v/>
      </c>
      <c r="CC18" s="247" t="str">
        <f t="shared" si="34"/>
        <v/>
      </c>
      <c r="CD18" s="247" t="str">
        <f t="shared" si="35"/>
        <v/>
      </c>
      <c r="CE18" s="247" t="str">
        <f t="shared" si="36"/>
        <v/>
      </c>
      <c r="CF18" s="247" t="str">
        <f t="shared" si="37"/>
        <v/>
      </c>
      <c r="CG18" s="247" t="str">
        <f t="shared" si="38"/>
        <v/>
      </c>
      <c r="CH18" s="248" t="str">
        <f t="shared" si="39"/>
        <v/>
      </c>
      <c r="CI18" s="250" t="str">
        <f t="shared" si="14"/>
        <v/>
      </c>
      <c r="CJ18" s="250" t="str">
        <f t="shared" si="15"/>
        <v/>
      </c>
      <c r="CK18" s="247" t="str">
        <f t="shared" si="16"/>
        <v/>
      </c>
      <c r="CL18" s="249" t="str">
        <f t="shared" si="17"/>
        <v/>
      </c>
    </row>
    <row r="19" spans="1:90" ht="24.95" customHeight="1" x14ac:dyDescent="0.25">
      <c r="A19" s="140"/>
      <c r="B19" s="140"/>
      <c r="C19" s="140"/>
      <c r="D19" s="142">
        <v>15</v>
      </c>
      <c r="E19" s="63">
        <f t="shared" si="3"/>
        <v>0</v>
      </c>
      <c r="F19" s="193" t="str">
        <f t="shared" ca="1" si="4"/>
        <v/>
      </c>
      <c r="G19" s="194" t="str">
        <f t="shared" ca="1" si="4"/>
        <v/>
      </c>
      <c r="H19" s="215" t="str">
        <f t="shared" ca="1" si="4"/>
        <v/>
      </c>
      <c r="I19" s="196" t="str">
        <f t="shared" ca="1" si="4"/>
        <v/>
      </c>
      <c r="J19" s="197" t="str">
        <f t="shared" ca="1" si="4"/>
        <v/>
      </c>
      <c r="K19" s="197" t="str">
        <f t="shared" ca="1" si="4"/>
        <v/>
      </c>
      <c r="L19" s="197" t="str">
        <f t="shared" ca="1" si="4"/>
        <v/>
      </c>
      <c r="M19" s="195" t="str">
        <f t="shared" ca="1" si="4"/>
        <v/>
      </c>
      <c r="N19" s="197" t="str">
        <f t="shared" ca="1" si="4"/>
        <v/>
      </c>
      <c r="O19" s="197" t="str">
        <f t="shared" ca="1" si="4"/>
        <v/>
      </c>
      <c r="P19" s="221" t="str">
        <f t="shared" ca="1" si="4"/>
        <v/>
      </c>
      <c r="Q19" s="221" t="str">
        <f t="shared" ca="1" si="4"/>
        <v/>
      </c>
      <c r="R19" s="221" t="str">
        <f t="shared" ca="1" si="4"/>
        <v/>
      </c>
      <c r="S19" s="221" t="str">
        <f t="shared" ca="1" si="4"/>
        <v/>
      </c>
      <c r="T19" s="221" t="str">
        <f t="shared" ca="1" si="4"/>
        <v/>
      </c>
      <c r="U19" s="217" t="str">
        <f t="shared" ca="1" si="9"/>
        <v/>
      </c>
      <c r="V19" s="221" t="str">
        <f t="shared" ca="1" si="5"/>
        <v/>
      </c>
      <c r="W19" s="221" t="str">
        <f t="shared" ca="1" si="5"/>
        <v/>
      </c>
      <c r="X19" s="221" t="str">
        <f t="shared" ca="1" si="5"/>
        <v/>
      </c>
      <c r="Y19" s="221" t="str">
        <f t="shared" ca="1" si="5"/>
        <v/>
      </c>
      <c r="Z19" s="221" t="str">
        <f t="shared" ca="1" si="5"/>
        <v/>
      </c>
      <c r="AA19" s="221" t="str">
        <f t="shared" ca="1" si="5"/>
        <v/>
      </c>
      <c r="AB19" s="221" t="str">
        <f t="shared" ca="1" si="5"/>
        <v/>
      </c>
      <c r="AC19" s="221" t="str">
        <f t="shared" ca="1" si="5"/>
        <v/>
      </c>
      <c r="AD19" s="221" t="str">
        <f t="shared" ca="1" si="5"/>
        <v/>
      </c>
      <c r="AE19" s="221" t="str">
        <f t="shared" ca="1" si="5"/>
        <v/>
      </c>
      <c r="AF19" s="221" t="str">
        <f t="shared" ca="1" si="6"/>
        <v/>
      </c>
      <c r="AG19" s="221"/>
      <c r="AH19" s="221" t="str">
        <f t="shared" ca="1" si="6"/>
        <v/>
      </c>
      <c r="AI19" s="221" t="str">
        <f t="shared" ca="1" si="6"/>
        <v/>
      </c>
      <c r="AJ19" s="221" t="str">
        <f t="shared" ca="1" si="6"/>
        <v/>
      </c>
      <c r="AK19" s="223" t="str">
        <f t="shared" ca="1" si="6"/>
        <v/>
      </c>
      <c r="AL19" s="223" t="str">
        <f t="shared" ca="1" si="6"/>
        <v/>
      </c>
      <c r="AM19" s="217" t="str">
        <f t="shared" ca="1" si="10"/>
        <v/>
      </c>
      <c r="AN19" s="253" t="str">
        <f t="shared" ca="1" si="7"/>
        <v/>
      </c>
      <c r="AO19" s="253" t="str">
        <f t="shared" ca="1" si="7"/>
        <v/>
      </c>
      <c r="AP19" s="198" t="str">
        <f t="shared" ca="1" si="7"/>
        <v/>
      </c>
      <c r="AQ19" s="199" t="str">
        <f t="shared" ca="1" si="7"/>
        <v/>
      </c>
      <c r="AR19" s="41"/>
      <c r="AS19" s="69">
        <f t="shared" ca="1" si="8"/>
        <v>0</v>
      </c>
      <c r="AT19" s="69"/>
      <c r="AU19" s="18"/>
      <c r="AV19" s="12"/>
      <c r="AW19" s="6"/>
      <c r="AX19" s="3">
        <f t="shared" si="18"/>
        <v>0</v>
      </c>
      <c r="AY19" s="19" t="s">
        <v>117</v>
      </c>
      <c r="AZ19" s="9">
        <v>5</v>
      </c>
      <c r="BA19" s="17" t="str">
        <f t="shared" si="11"/>
        <v/>
      </c>
      <c r="BB19" s="88" t="s">
        <v>108</v>
      </c>
      <c r="BC19" s="20">
        <v>5</v>
      </c>
      <c r="BD19" s="158" t="str">
        <f t="shared" si="19"/>
        <v/>
      </c>
      <c r="BE19" s="247" t="str">
        <f t="shared" si="40"/>
        <v/>
      </c>
      <c r="BF19" s="248" t="str">
        <f t="shared" si="20"/>
        <v/>
      </c>
      <c r="BG19" s="247" t="str">
        <f t="shared" si="41"/>
        <v/>
      </c>
      <c r="BH19" s="247" t="str">
        <f t="shared" si="42"/>
        <v/>
      </c>
      <c r="BI19" s="247" t="str">
        <f t="shared" si="43"/>
        <v/>
      </c>
      <c r="BJ19" s="247" t="str">
        <f t="shared" si="44"/>
        <v/>
      </c>
      <c r="BK19" s="247" t="str">
        <f t="shared" si="45"/>
        <v/>
      </c>
      <c r="BL19" s="247" t="str">
        <f t="shared" si="46"/>
        <v/>
      </c>
      <c r="BM19" s="247" t="str">
        <f t="shared" si="21"/>
        <v/>
      </c>
      <c r="BN19" s="247" t="str">
        <f t="shared" si="22"/>
        <v/>
      </c>
      <c r="BO19" s="247" t="str">
        <f t="shared" si="23"/>
        <v/>
      </c>
      <c r="BP19" s="247" t="str">
        <f t="shared" si="24"/>
        <v/>
      </c>
      <c r="BQ19" s="247" t="str">
        <f t="shared" si="25"/>
        <v/>
      </c>
      <c r="BR19" s="247" t="str">
        <f t="shared" si="47"/>
        <v/>
      </c>
      <c r="BS19" s="247" t="str">
        <f t="shared" si="26"/>
        <v/>
      </c>
      <c r="BT19" s="247" t="str">
        <f t="shared" si="27"/>
        <v/>
      </c>
      <c r="BU19" s="247" t="str">
        <f t="shared" si="27"/>
        <v/>
      </c>
      <c r="BV19" s="247" t="str">
        <f t="shared" si="28"/>
        <v/>
      </c>
      <c r="BW19" s="247" t="str">
        <f t="shared" si="29"/>
        <v/>
      </c>
      <c r="BX19" s="247" t="str">
        <f t="shared" si="30"/>
        <v/>
      </c>
      <c r="BY19" s="247" t="str">
        <f t="shared" si="31"/>
        <v/>
      </c>
      <c r="BZ19" s="247" t="str">
        <f t="shared" si="32"/>
        <v/>
      </c>
      <c r="CA19" s="247" t="str">
        <f t="shared" si="33"/>
        <v/>
      </c>
      <c r="CB19" s="247" t="str">
        <f t="shared" si="34"/>
        <v/>
      </c>
      <c r="CC19" s="247" t="str">
        <f t="shared" si="34"/>
        <v/>
      </c>
      <c r="CD19" s="247" t="str">
        <f t="shared" si="35"/>
        <v/>
      </c>
      <c r="CE19" s="247" t="str">
        <f t="shared" si="36"/>
        <v/>
      </c>
      <c r="CF19" s="247" t="str">
        <f t="shared" si="37"/>
        <v/>
      </c>
      <c r="CG19" s="247" t="str">
        <f t="shared" si="38"/>
        <v/>
      </c>
      <c r="CH19" s="248" t="str">
        <f t="shared" si="39"/>
        <v/>
      </c>
      <c r="CI19" s="247" t="str">
        <f t="shared" si="14"/>
        <v/>
      </c>
      <c r="CJ19" s="247" t="str">
        <f t="shared" si="15"/>
        <v/>
      </c>
      <c r="CK19" s="247" t="str">
        <f t="shared" si="16"/>
        <v/>
      </c>
      <c r="CL19" s="249" t="str">
        <f t="shared" si="17"/>
        <v/>
      </c>
    </row>
    <row r="20" spans="1:90" ht="24.95" customHeight="1" x14ac:dyDescent="0.25">
      <c r="A20" s="140"/>
      <c r="B20" s="140"/>
      <c r="C20" s="140"/>
      <c r="D20" s="142">
        <v>17</v>
      </c>
      <c r="E20" s="63">
        <f t="shared" si="3"/>
        <v>0</v>
      </c>
      <c r="F20" s="202" t="str">
        <f t="shared" ca="1" si="4"/>
        <v/>
      </c>
      <c r="G20" s="203" t="str">
        <f t="shared" ca="1" si="4"/>
        <v/>
      </c>
      <c r="H20" s="216" t="str">
        <f t="shared" ca="1" si="4"/>
        <v/>
      </c>
      <c r="I20" s="204" t="str">
        <f t="shared" ca="1" si="4"/>
        <v/>
      </c>
      <c r="J20" s="205" t="str">
        <f t="shared" ca="1" si="4"/>
        <v/>
      </c>
      <c r="K20" s="205" t="str">
        <f t="shared" ca="1" si="4"/>
        <v/>
      </c>
      <c r="L20" s="205" t="str">
        <f t="shared" ca="1" si="4"/>
        <v/>
      </c>
      <c r="M20" s="214" t="str">
        <f t="shared" ca="1" si="4"/>
        <v/>
      </c>
      <c r="N20" s="205" t="str">
        <f t="shared" ca="1" si="4"/>
        <v/>
      </c>
      <c r="O20" s="205" t="str">
        <f t="shared" ca="1" si="4"/>
        <v/>
      </c>
      <c r="P20" s="222" t="str">
        <f t="shared" ca="1" si="4"/>
        <v/>
      </c>
      <c r="Q20" s="222" t="str">
        <f t="shared" ca="1" si="4"/>
        <v/>
      </c>
      <c r="R20" s="222" t="str">
        <f t="shared" ca="1" si="4"/>
        <v/>
      </c>
      <c r="S20" s="222" t="str">
        <f t="shared" ca="1" si="4"/>
        <v/>
      </c>
      <c r="T20" s="222" t="str">
        <f t="shared" ca="1" si="4"/>
        <v/>
      </c>
      <c r="U20" s="218" t="str">
        <f t="shared" ca="1" si="9"/>
        <v/>
      </c>
      <c r="V20" s="222" t="str">
        <f t="shared" ca="1" si="5"/>
        <v/>
      </c>
      <c r="W20" s="222" t="str">
        <f t="shared" ca="1" si="5"/>
        <v/>
      </c>
      <c r="X20" s="222" t="str">
        <f t="shared" ca="1" si="5"/>
        <v/>
      </c>
      <c r="Y20" s="222" t="str">
        <f t="shared" ca="1" si="5"/>
        <v/>
      </c>
      <c r="Z20" s="222" t="str">
        <f t="shared" ca="1" si="5"/>
        <v/>
      </c>
      <c r="AA20" s="222" t="str">
        <f t="shared" ca="1" si="5"/>
        <v/>
      </c>
      <c r="AB20" s="222" t="str">
        <f t="shared" ca="1" si="5"/>
        <v/>
      </c>
      <c r="AC20" s="222" t="str">
        <f t="shared" ca="1" si="5"/>
        <v/>
      </c>
      <c r="AD20" s="222" t="str">
        <f t="shared" ca="1" si="5"/>
        <v/>
      </c>
      <c r="AE20" s="222" t="str">
        <f t="shared" ca="1" si="5"/>
        <v/>
      </c>
      <c r="AF20" s="222" t="str">
        <f t="shared" ca="1" si="6"/>
        <v/>
      </c>
      <c r="AG20" s="222"/>
      <c r="AH20" s="222" t="str">
        <f t="shared" ca="1" si="6"/>
        <v/>
      </c>
      <c r="AI20" s="222" t="str">
        <f t="shared" ca="1" si="6"/>
        <v/>
      </c>
      <c r="AJ20" s="222" t="str">
        <f t="shared" ca="1" si="6"/>
        <v/>
      </c>
      <c r="AK20" s="224" t="str">
        <f t="shared" ca="1" si="6"/>
        <v/>
      </c>
      <c r="AL20" s="224" t="str">
        <f t="shared" ca="1" si="6"/>
        <v/>
      </c>
      <c r="AM20" s="218" t="str">
        <f t="shared" ca="1" si="10"/>
        <v/>
      </c>
      <c r="AN20" s="254" t="str">
        <f t="shared" ca="1" si="7"/>
        <v/>
      </c>
      <c r="AO20" s="254" t="str">
        <f t="shared" ca="1" si="7"/>
        <v/>
      </c>
      <c r="AP20" s="206" t="str">
        <f t="shared" ca="1" si="7"/>
        <v/>
      </c>
      <c r="AQ20" s="207" t="str">
        <f t="shared" ca="1" si="7"/>
        <v/>
      </c>
      <c r="AR20" s="41"/>
      <c r="AS20" s="69">
        <f t="shared" ca="1" si="8"/>
        <v>0</v>
      </c>
      <c r="AT20" s="69"/>
      <c r="AU20" s="18"/>
      <c r="AV20" s="12"/>
      <c r="AW20" s="6"/>
      <c r="AX20" s="3">
        <f t="shared" si="18"/>
        <v>0</v>
      </c>
      <c r="AY20" s="19" t="s">
        <v>118</v>
      </c>
      <c r="AZ20" s="9">
        <v>6</v>
      </c>
      <c r="BA20" s="17" t="str">
        <f t="shared" si="11"/>
        <v/>
      </c>
      <c r="BB20" s="88" t="s">
        <v>108</v>
      </c>
      <c r="BC20" s="20">
        <v>6</v>
      </c>
      <c r="BD20" s="158" t="str">
        <f t="shared" si="19"/>
        <v/>
      </c>
      <c r="BE20" s="247" t="str">
        <f t="shared" si="40"/>
        <v/>
      </c>
      <c r="BF20" s="248" t="str">
        <f t="shared" si="20"/>
        <v/>
      </c>
      <c r="BG20" s="247" t="str">
        <f t="shared" si="41"/>
        <v/>
      </c>
      <c r="BH20" s="247" t="str">
        <f t="shared" si="42"/>
        <v/>
      </c>
      <c r="BI20" s="247" t="str">
        <f t="shared" si="43"/>
        <v/>
      </c>
      <c r="BJ20" s="247" t="str">
        <f t="shared" si="44"/>
        <v/>
      </c>
      <c r="BK20" s="247" t="str">
        <f t="shared" si="45"/>
        <v/>
      </c>
      <c r="BL20" s="247" t="str">
        <f t="shared" si="46"/>
        <v/>
      </c>
      <c r="BM20" s="247" t="str">
        <f t="shared" si="21"/>
        <v/>
      </c>
      <c r="BN20" s="247" t="str">
        <f t="shared" si="22"/>
        <v/>
      </c>
      <c r="BO20" s="247" t="str">
        <f t="shared" si="23"/>
        <v/>
      </c>
      <c r="BP20" s="247" t="str">
        <f t="shared" si="24"/>
        <v/>
      </c>
      <c r="BQ20" s="247" t="str">
        <f t="shared" si="25"/>
        <v/>
      </c>
      <c r="BR20" s="247" t="str">
        <f t="shared" si="47"/>
        <v/>
      </c>
      <c r="BS20" s="247" t="str">
        <f t="shared" si="26"/>
        <v/>
      </c>
      <c r="BT20" s="247" t="str">
        <f t="shared" si="27"/>
        <v/>
      </c>
      <c r="BU20" s="247" t="str">
        <f t="shared" si="27"/>
        <v/>
      </c>
      <c r="BV20" s="247" t="str">
        <f t="shared" si="28"/>
        <v/>
      </c>
      <c r="BW20" s="247" t="str">
        <f t="shared" si="29"/>
        <v/>
      </c>
      <c r="BX20" s="247" t="str">
        <f t="shared" si="30"/>
        <v/>
      </c>
      <c r="BY20" s="247" t="str">
        <f t="shared" si="31"/>
        <v/>
      </c>
      <c r="BZ20" s="247" t="str">
        <f t="shared" si="32"/>
        <v/>
      </c>
      <c r="CA20" s="247" t="str">
        <f t="shared" si="33"/>
        <v/>
      </c>
      <c r="CB20" s="247" t="str">
        <f t="shared" si="34"/>
        <v/>
      </c>
      <c r="CC20" s="247" t="str">
        <f t="shared" si="34"/>
        <v/>
      </c>
      <c r="CD20" s="247" t="str">
        <f t="shared" si="35"/>
        <v/>
      </c>
      <c r="CE20" s="247" t="str">
        <f t="shared" si="36"/>
        <v/>
      </c>
      <c r="CF20" s="247" t="str">
        <f t="shared" si="37"/>
        <v/>
      </c>
      <c r="CG20" s="247" t="str">
        <f t="shared" si="38"/>
        <v/>
      </c>
      <c r="CH20" s="248" t="str">
        <f t="shared" si="39"/>
        <v/>
      </c>
      <c r="CI20" s="247" t="str">
        <f t="shared" si="14"/>
        <v/>
      </c>
      <c r="CJ20" s="247" t="str">
        <f t="shared" si="15"/>
        <v/>
      </c>
      <c r="CK20" s="247" t="str">
        <f t="shared" si="16"/>
        <v/>
      </c>
      <c r="CL20" s="249" t="str">
        <f t="shared" si="17"/>
        <v/>
      </c>
    </row>
    <row r="21" spans="1:90" ht="24.95" customHeight="1" x14ac:dyDescent="0.25">
      <c r="A21" s="140"/>
      <c r="B21" s="140"/>
      <c r="C21" s="140"/>
      <c r="D21" s="142"/>
      <c r="E21" s="63"/>
      <c r="F21" s="394" t="s">
        <v>166</v>
      </c>
      <c r="G21" s="395"/>
      <c r="H21" s="395"/>
      <c r="I21" s="395"/>
      <c r="J21" s="211">
        <f t="shared" ref="J21:O21" ca="1" si="48">SUM(J12:J19)</f>
        <v>0</v>
      </c>
      <c r="K21" s="211">
        <f t="shared" ca="1" si="48"/>
        <v>0</v>
      </c>
      <c r="L21" s="211">
        <f t="shared" ca="1" si="48"/>
        <v>0</v>
      </c>
      <c r="M21" s="220">
        <f ca="1">SUM(M12:M20)</f>
        <v>0</v>
      </c>
      <c r="N21" s="211">
        <f t="shared" ca="1" si="48"/>
        <v>0</v>
      </c>
      <c r="O21" s="211">
        <f t="shared" ca="1" si="48"/>
        <v>0</v>
      </c>
      <c r="P21" s="212">
        <f ca="1">SUM(P12:P19)</f>
        <v>0</v>
      </c>
      <c r="Q21" s="212">
        <f t="shared" ref="Q21:AQ21" ca="1" si="49">SUM(Q12:Q19)</f>
        <v>0</v>
      </c>
      <c r="R21" s="212">
        <f t="shared" ca="1" si="49"/>
        <v>0</v>
      </c>
      <c r="S21" s="212">
        <f t="shared" ca="1" si="49"/>
        <v>0</v>
      </c>
      <c r="T21" s="212">
        <f t="shared" ca="1" si="49"/>
        <v>0</v>
      </c>
      <c r="U21" s="213">
        <f t="shared" ca="1" si="49"/>
        <v>0</v>
      </c>
      <c r="V21" s="212">
        <f t="shared" ca="1" si="49"/>
        <v>0</v>
      </c>
      <c r="W21" s="212">
        <f t="shared" ca="1" si="49"/>
        <v>0</v>
      </c>
      <c r="X21" s="209">
        <f t="shared" ca="1" si="49"/>
        <v>0</v>
      </c>
      <c r="Y21" s="209">
        <f t="shared" ca="1" si="49"/>
        <v>0</v>
      </c>
      <c r="Z21" s="209">
        <f t="shared" ca="1" si="49"/>
        <v>0</v>
      </c>
      <c r="AA21" s="209">
        <f t="shared" ca="1" si="49"/>
        <v>0</v>
      </c>
      <c r="AB21" s="209">
        <f t="shared" ca="1" si="49"/>
        <v>0</v>
      </c>
      <c r="AC21" s="209">
        <f t="shared" ca="1" si="49"/>
        <v>0</v>
      </c>
      <c r="AD21" s="209">
        <f t="shared" ca="1" si="49"/>
        <v>0</v>
      </c>
      <c r="AE21" s="209">
        <f t="shared" ca="1" si="49"/>
        <v>0</v>
      </c>
      <c r="AF21" s="209">
        <f t="shared" ca="1" si="49"/>
        <v>0</v>
      </c>
      <c r="AG21" s="209">
        <f t="shared" si="49"/>
        <v>0</v>
      </c>
      <c r="AH21" s="209">
        <f t="shared" ca="1" si="49"/>
        <v>0</v>
      </c>
      <c r="AI21" s="209">
        <f t="shared" ca="1" si="49"/>
        <v>0</v>
      </c>
      <c r="AJ21" s="209">
        <f t="shared" ca="1" si="49"/>
        <v>0</v>
      </c>
      <c r="AK21" s="209">
        <f t="shared" ca="1" si="49"/>
        <v>0</v>
      </c>
      <c r="AL21" s="209">
        <f ca="1">SUM(AL12:AL19)</f>
        <v>0</v>
      </c>
      <c r="AM21" s="210">
        <f t="shared" ca="1" si="49"/>
        <v>0</v>
      </c>
      <c r="AN21" s="208">
        <f t="shared" ca="1" si="49"/>
        <v>0</v>
      </c>
      <c r="AO21" s="208">
        <f t="shared" ca="1" si="49"/>
        <v>0</v>
      </c>
      <c r="AP21" s="208"/>
      <c r="AQ21" s="208">
        <f t="shared" ca="1" si="49"/>
        <v>0</v>
      </c>
      <c r="AR21" s="41"/>
      <c r="AS21" s="69">
        <f t="shared" ca="1" si="8"/>
        <v>1</v>
      </c>
      <c r="AT21" s="69"/>
      <c r="AU21" s="18"/>
      <c r="AV21" s="12"/>
      <c r="AW21" s="6"/>
      <c r="AX21" s="3">
        <f t="shared" si="18"/>
        <v>0</v>
      </c>
      <c r="AY21" s="19" t="s">
        <v>119</v>
      </c>
      <c r="AZ21" s="9">
        <v>7</v>
      </c>
      <c r="BA21" s="17" t="str">
        <f t="shared" si="11"/>
        <v/>
      </c>
      <c r="BB21" s="88" t="s">
        <v>108</v>
      </c>
      <c r="BC21" s="20">
        <v>7</v>
      </c>
      <c r="BD21" s="158" t="str">
        <f t="shared" si="19"/>
        <v/>
      </c>
      <c r="BE21" s="247" t="str">
        <f t="shared" si="40"/>
        <v/>
      </c>
      <c r="BF21" s="248" t="str">
        <f t="shared" si="20"/>
        <v/>
      </c>
      <c r="BG21" s="247" t="str">
        <f t="shared" si="41"/>
        <v/>
      </c>
      <c r="BH21" s="247" t="str">
        <f t="shared" si="42"/>
        <v/>
      </c>
      <c r="BI21" s="247" t="str">
        <f t="shared" si="43"/>
        <v/>
      </c>
      <c r="BJ21" s="247" t="str">
        <f t="shared" si="44"/>
        <v/>
      </c>
      <c r="BK21" s="247" t="str">
        <f t="shared" si="45"/>
        <v/>
      </c>
      <c r="BL21" s="247" t="str">
        <f t="shared" si="46"/>
        <v/>
      </c>
      <c r="BM21" s="247" t="str">
        <f t="shared" si="21"/>
        <v/>
      </c>
      <c r="BN21" s="247" t="str">
        <f t="shared" si="22"/>
        <v/>
      </c>
      <c r="BO21" s="247" t="str">
        <f t="shared" si="23"/>
        <v/>
      </c>
      <c r="BP21" s="247" t="str">
        <f t="shared" si="24"/>
        <v/>
      </c>
      <c r="BQ21" s="247" t="str">
        <f t="shared" si="25"/>
        <v/>
      </c>
      <c r="BR21" s="247" t="str">
        <f t="shared" si="47"/>
        <v/>
      </c>
      <c r="BS21" s="247" t="str">
        <f t="shared" si="26"/>
        <v/>
      </c>
      <c r="BT21" s="247" t="str">
        <f t="shared" si="27"/>
        <v/>
      </c>
      <c r="BU21" s="247" t="str">
        <f t="shared" si="27"/>
        <v/>
      </c>
      <c r="BV21" s="247" t="str">
        <f t="shared" si="28"/>
        <v/>
      </c>
      <c r="BW21" s="247" t="str">
        <f t="shared" si="29"/>
        <v/>
      </c>
      <c r="BX21" s="247" t="str">
        <f t="shared" si="30"/>
        <v/>
      </c>
      <c r="BY21" s="247" t="str">
        <f t="shared" si="31"/>
        <v/>
      </c>
      <c r="BZ21" s="247" t="str">
        <f t="shared" si="32"/>
        <v/>
      </c>
      <c r="CA21" s="247" t="str">
        <f t="shared" si="33"/>
        <v/>
      </c>
      <c r="CB21" s="247" t="str">
        <f t="shared" si="34"/>
        <v/>
      </c>
      <c r="CC21" s="247" t="str">
        <f t="shared" si="34"/>
        <v/>
      </c>
      <c r="CD21" s="247" t="str">
        <f t="shared" si="35"/>
        <v/>
      </c>
      <c r="CE21" s="247" t="str">
        <f t="shared" si="36"/>
        <v/>
      </c>
      <c r="CF21" s="247" t="str">
        <f t="shared" si="37"/>
        <v/>
      </c>
      <c r="CG21" s="247" t="str">
        <f t="shared" si="38"/>
        <v/>
      </c>
      <c r="CH21" s="248" t="str">
        <f t="shared" si="39"/>
        <v/>
      </c>
      <c r="CI21" s="247" t="str">
        <f t="shared" si="14"/>
        <v/>
      </c>
      <c r="CJ21" s="247" t="str">
        <f t="shared" si="15"/>
        <v/>
      </c>
      <c r="CK21" s="247" t="str">
        <f t="shared" si="16"/>
        <v/>
      </c>
      <c r="CL21" s="249" t="str">
        <f t="shared" si="17"/>
        <v/>
      </c>
    </row>
    <row r="22" spans="1:90" ht="15.75" x14ac:dyDescent="0.25">
      <c r="A22" s="140"/>
      <c r="B22" s="140"/>
      <c r="C22" s="140"/>
      <c r="D22" s="140"/>
      <c r="E22" s="41"/>
      <c r="F22" s="405" t="s">
        <v>112</v>
      </c>
      <c r="G22" s="406"/>
      <c r="H22" s="381" t="s">
        <v>153</v>
      </c>
      <c r="I22" s="382" t="s">
        <v>246</v>
      </c>
      <c r="J22" s="382" t="s">
        <v>160</v>
      </c>
      <c r="K22" s="382" t="s">
        <v>5</v>
      </c>
      <c r="L22" s="382" t="s">
        <v>161</v>
      </c>
      <c r="M22" s="422" t="s">
        <v>162</v>
      </c>
      <c r="N22" s="422" t="s">
        <v>163</v>
      </c>
      <c r="O22" s="422" t="s">
        <v>164</v>
      </c>
      <c r="P22" s="416" t="s">
        <v>167</v>
      </c>
      <c r="Q22" s="417"/>
      <c r="R22" s="417"/>
      <c r="S22" s="417"/>
      <c r="T22" s="418" t="s">
        <v>159</v>
      </c>
      <c r="U22" s="419"/>
      <c r="V22" s="418" t="s">
        <v>253</v>
      </c>
      <c r="W22" s="419"/>
      <c r="X22" s="418" t="s">
        <v>244</v>
      </c>
      <c r="Y22" s="423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54"/>
      <c r="AL22" s="54"/>
      <c r="AM22" s="49"/>
      <c r="AN22" s="49"/>
      <c r="AO22" s="49"/>
      <c r="AP22" s="49"/>
      <c r="AQ22" s="49"/>
      <c r="AR22" s="41"/>
      <c r="AS22" s="69"/>
      <c r="AT22" s="69"/>
      <c r="AU22" s="12"/>
      <c r="AV22" s="12"/>
      <c r="AW22" s="6"/>
      <c r="AX22" s="3">
        <f t="shared" si="18"/>
        <v>0</v>
      </c>
      <c r="AY22" s="19" t="s">
        <v>120</v>
      </c>
      <c r="AZ22" s="9">
        <v>8</v>
      </c>
      <c r="BA22" s="17" t="str">
        <f t="shared" si="11"/>
        <v/>
      </c>
      <c r="BB22" s="88" t="s">
        <v>108</v>
      </c>
      <c r="BC22" s="20">
        <v>8</v>
      </c>
      <c r="BD22" s="158" t="str">
        <f t="shared" si="19"/>
        <v/>
      </c>
      <c r="BE22" s="247" t="str">
        <f t="shared" si="40"/>
        <v/>
      </c>
      <c r="BF22" s="248" t="str">
        <f t="shared" si="20"/>
        <v/>
      </c>
      <c r="BG22" s="247" t="str">
        <f t="shared" si="41"/>
        <v/>
      </c>
      <c r="BH22" s="247" t="str">
        <f t="shared" si="42"/>
        <v/>
      </c>
      <c r="BI22" s="247" t="str">
        <f t="shared" si="43"/>
        <v/>
      </c>
      <c r="BJ22" s="247" t="str">
        <f t="shared" si="44"/>
        <v/>
      </c>
      <c r="BK22" s="247" t="str">
        <f t="shared" si="45"/>
        <v/>
      </c>
      <c r="BL22" s="247" t="str">
        <f t="shared" si="46"/>
        <v/>
      </c>
      <c r="BM22" s="247" t="str">
        <f t="shared" si="21"/>
        <v/>
      </c>
      <c r="BN22" s="247" t="str">
        <f t="shared" si="22"/>
        <v/>
      </c>
      <c r="BO22" s="247" t="str">
        <f t="shared" si="23"/>
        <v/>
      </c>
      <c r="BP22" s="247" t="str">
        <f t="shared" si="24"/>
        <v/>
      </c>
      <c r="BQ22" s="247" t="str">
        <f t="shared" si="25"/>
        <v/>
      </c>
      <c r="BR22" s="247" t="str">
        <f t="shared" si="47"/>
        <v/>
      </c>
      <c r="BS22" s="247" t="str">
        <f t="shared" si="26"/>
        <v/>
      </c>
      <c r="BT22" s="247" t="str">
        <f t="shared" si="27"/>
        <v/>
      </c>
      <c r="BU22" s="247" t="str">
        <f t="shared" si="27"/>
        <v/>
      </c>
      <c r="BV22" s="247" t="str">
        <f t="shared" si="28"/>
        <v/>
      </c>
      <c r="BW22" s="247" t="str">
        <f t="shared" si="29"/>
        <v/>
      </c>
      <c r="BX22" s="247" t="str">
        <f t="shared" si="30"/>
        <v/>
      </c>
      <c r="BY22" s="247" t="str">
        <f t="shared" si="31"/>
        <v/>
      </c>
      <c r="BZ22" s="247" t="str">
        <f t="shared" si="32"/>
        <v/>
      </c>
      <c r="CA22" s="247" t="str">
        <f t="shared" si="33"/>
        <v/>
      </c>
      <c r="CB22" s="247" t="str">
        <f t="shared" si="34"/>
        <v/>
      </c>
      <c r="CC22" s="247" t="str">
        <f t="shared" si="34"/>
        <v/>
      </c>
      <c r="CD22" s="247" t="str">
        <f t="shared" si="35"/>
        <v/>
      </c>
      <c r="CE22" s="247" t="str">
        <f t="shared" si="36"/>
        <v/>
      </c>
      <c r="CF22" s="247" t="str">
        <f t="shared" si="37"/>
        <v/>
      </c>
      <c r="CG22" s="247" t="str">
        <f t="shared" si="38"/>
        <v/>
      </c>
      <c r="CH22" s="248" t="str">
        <f t="shared" si="39"/>
        <v/>
      </c>
      <c r="CI22" s="247" t="str">
        <f t="shared" si="14"/>
        <v/>
      </c>
      <c r="CJ22" s="247" t="str">
        <f t="shared" si="15"/>
        <v/>
      </c>
      <c r="CK22" s="247" t="str">
        <f t="shared" si="16"/>
        <v/>
      </c>
      <c r="CL22" s="249" t="str">
        <f t="shared" si="17"/>
        <v/>
      </c>
    </row>
    <row r="23" spans="1:90" ht="30.75" customHeight="1" x14ac:dyDescent="0.25">
      <c r="A23" s="140"/>
      <c r="B23" s="140"/>
      <c r="C23" s="140"/>
      <c r="D23" s="140"/>
      <c r="E23" s="41"/>
      <c r="F23" s="407"/>
      <c r="G23" s="408"/>
      <c r="H23" s="324"/>
      <c r="I23" s="326"/>
      <c r="J23" s="326"/>
      <c r="K23" s="326"/>
      <c r="L23" s="326"/>
      <c r="M23" s="343"/>
      <c r="N23" s="343"/>
      <c r="O23" s="343"/>
      <c r="P23" s="327" t="s">
        <v>24</v>
      </c>
      <c r="Q23" s="327"/>
      <c r="R23" s="335" t="s">
        <v>25</v>
      </c>
      <c r="S23" s="335"/>
      <c r="T23" s="420"/>
      <c r="U23" s="421"/>
      <c r="V23" s="420"/>
      <c r="W23" s="421"/>
      <c r="X23" s="420"/>
      <c r="Y23" s="424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9"/>
      <c r="AN23" s="49"/>
      <c r="AO23" s="49"/>
      <c r="AP23" s="49"/>
      <c r="AQ23" s="49"/>
      <c r="AR23" s="41"/>
      <c r="AS23" s="68"/>
      <c r="AT23" s="12"/>
      <c r="AU23" s="12"/>
      <c r="AV23" s="12"/>
      <c r="AW23" s="6"/>
      <c r="AX23" s="3">
        <f t="shared" si="18"/>
        <v>0</v>
      </c>
      <c r="AY23" s="19" t="s">
        <v>121</v>
      </c>
      <c r="AZ23" s="9">
        <v>9</v>
      </c>
      <c r="BA23" s="17" t="str">
        <f t="shared" si="11"/>
        <v/>
      </c>
      <c r="BB23" s="88" t="s">
        <v>108</v>
      </c>
      <c r="BC23" s="20">
        <v>9</v>
      </c>
      <c r="BD23" s="158" t="str">
        <f t="shared" si="19"/>
        <v/>
      </c>
      <c r="BE23" s="247" t="str">
        <f t="shared" si="40"/>
        <v/>
      </c>
      <c r="BF23" s="248" t="str">
        <f t="shared" si="20"/>
        <v/>
      </c>
      <c r="BG23" s="247" t="str">
        <f t="shared" si="41"/>
        <v/>
      </c>
      <c r="BH23" s="247" t="str">
        <f t="shared" si="42"/>
        <v/>
      </c>
      <c r="BI23" s="247" t="str">
        <f t="shared" si="43"/>
        <v/>
      </c>
      <c r="BJ23" s="247" t="str">
        <f t="shared" si="44"/>
        <v/>
      </c>
      <c r="BK23" s="247" t="str">
        <f t="shared" si="45"/>
        <v/>
      </c>
      <c r="BL23" s="247" t="str">
        <f t="shared" si="46"/>
        <v/>
      </c>
      <c r="BM23" s="247" t="str">
        <f t="shared" si="21"/>
        <v/>
      </c>
      <c r="BN23" s="247" t="str">
        <f t="shared" si="22"/>
        <v/>
      </c>
      <c r="BO23" s="247" t="str">
        <f t="shared" si="23"/>
        <v/>
      </c>
      <c r="BP23" s="247" t="str">
        <f t="shared" si="24"/>
        <v/>
      </c>
      <c r="BQ23" s="247" t="str">
        <f t="shared" si="25"/>
        <v/>
      </c>
      <c r="BR23" s="247" t="str">
        <f t="shared" si="47"/>
        <v/>
      </c>
      <c r="BS23" s="247" t="str">
        <f t="shared" si="26"/>
        <v/>
      </c>
      <c r="BT23" s="247" t="str">
        <f t="shared" si="27"/>
        <v/>
      </c>
      <c r="BU23" s="247" t="str">
        <f t="shared" si="27"/>
        <v/>
      </c>
      <c r="BV23" s="247" t="str">
        <f t="shared" si="28"/>
        <v/>
      </c>
      <c r="BW23" s="247" t="str">
        <f t="shared" si="29"/>
        <v/>
      </c>
      <c r="BX23" s="247" t="str">
        <f t="shared" si="30"/>
        <v/>
      </c>
      <c r="BY23" s="247" t="str">
        <f t="shared" si="31"/>
        <v/>
      </c>
      <c r="BZ23" s="247" t="str">
        <f t="shared" si="32"/>
        <v/>
      </c>
      <c r="CA23" s="247" t="str">
        <f t="shared" si="33"/>
        <v/>
      </c>
      <c r="CB23" s="247" t="str">
        <f t="shared" si="34"/>
        <v/>
      </c>
      <c r="CC23" s="247" t="str">
        <f t="shared" si="34"/>
        <v/>
      </c>
      <c r="CD23" s="247" t="str">
        <f t="shared" si="35"/>
        <v/>
      </c>
      <c r="CE23" s="247" t="str">
        <f t="shared" si="36"/>
        <v/>
      </c>
      <c r="CF23" s="247" t="str">
        <f t="shared" si="37"/>
        <v/>
      </c>
      <c r="CG23" s="247" t="str">
        <f t="shared" si="38"/>
        <v/>
      </c>
      <c r="CH23" s="248" t="str">
        <f t="shared" si="39"/>
        <v/>
      </c>
      <c r="CI23" s="247" t="str">
        <f t="shared" si="14"/>
        <v/>
      </c>
      <c r="CJ23" s="247" t="str">
        <f t="shared" si="15"/>
        <v/>
      </c>
      <c r="CK23" s="247" t="str">
        <f t="shared" si="16"/>
        <v/>
      </c>
      <c r="CL23" s="249" t="str">
        <f t="shared" si="17"/>
        <v/>
      </c>
    </row>
    <row r="24" spans="1:90" ht="15" customHeight="1" x14ac:dyDescent="0.25">
      <c r="A24" s="140"/>
      <c r="B24" s="140"/>
      <c r="C24" s="140"/>
      <c r="D24" s="140"/>
      <c r="E24" s="41"/>
      <c r="F24" s="387" t="str">
        <f>TEXT(G4,"m/d/yy hh:mm")&amp;" to "&amp;TEXT(G5,"m/d/yy hh:mm")</f>
        <v>4/5/15 07:00 to 4/6/15 07:00</v>
      </c>
      <c r="G24" s="388"/>
      <c r="H24" s="311">
        <f ca="1">COUNTIF(H12:H20,"&gt;0")</f>
        <v>0</v>
      </c>
      <c r="I24" s="392" t="e">
        <f ca="1">AVERAGE(I12:I20)</f>
        <v>#DIV/0!</v>
      </c>
      <c r="J24" s="313">
        <f t="shared" ref="J24:O24" ca="1" si="50">SUM(J12:J20)</f>
        <v>0</v>
      </c>
      <c r="K24" s="315">
        <f t="shared" ca="1" si="50"/>
        <v>0</v>
      </c>
      <c r="L24" s="315">
        <f t="shared" ca="1" si="50"/>
        <v>0</v>
      </c>
      <c r="M24" s="346">
        <f t="shared" ca="1" si="50"/>
        <v>0</v>
      </c>
      <c r="N24" s="315">
        <f t="shared" ca="1" si="50"/>
        <v>0</v>
      </c>
      <c r="O24" s="315">
        <f t="shared" ca="1" si="50"/>
        <v>0</v>
      </c>
      <c r="P24" s="317">
        <f ca="1">SUM(U12:U20)</f>
        <v>0</v>
      </c>
      <c r="Q24" s="317"/>
      <c r="R24" s="317">
        <f ca="1">SUM(AM12:AM20)</f>
        <v>0</v>
      </c>
      <c r="S24" s="313"/>
      <c r="T24" s="319">
        <f ca="1">SUM(AN12:AN20)</f>
        <v>0</v>
      </c>
      <c r="U24" s="313"/>
      <c r="V24" s="319">
        <f ca="1">SUM(AO12:AO20)</f>
        <v>0</v>
      </c>
      <c r="W24" s="313"/>
      <c r="X24" s="319">
        <f ca="1">SUM(AQ12:AQ20)</f>
        <v>0</v>
      </c>
      <c r="Y24" s="379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68"/>
      <c r="AT24" s="12"/>
      <c r="AU24" s="12"/>
      <c r="AV24" s="12"/>
      <c r="AW24" s="6"/>
      <c r="AX24" s="3">
        <f t="shared" si="18"/>
        <v>0</v>
      </c>
      <c r="AY24" s="19" t="s">
        <v>122</v>
      </c>
      <c r="AZ24" s="9">
        <v>10</v>
      </c>
      <c r="BA24" s="17" t="str">
        <f t="shared" si="11"/>
        <v/>
      </c>
      <c r="BB24" s="226" t="s">
        <v>108</v>
      </c>
      <c r="BC24" s="227">
        <v>10</v>
      </c>
      <c r="BD24" s="228" t="str">
        <f t="shared" si="19"/>
        <v/>
      </c>
      <c r="BE24" s="228" t="str">
        <f t="shared" si="40"/>
        <v/>
      </c>
      <c r="BF24" s="229" t="str">
        <f t="shared" si="20"/>
        <v/>
      </c>
      <c r="BG24" s="228" t="str">
        <f t="shared" si="41"/>
        <v/>
      </c>
      <c r="BH24" s="228" t="str">
        <f t="shared" si="42"/>
        <v/>
      </c>
      <c r="BI24" s="228" t="str">
        <f t="shared" si="43"/>
        <v/>
      </c>
      <c r="BJ24" s="228" t="str">
        <f t="shared" si="44"/>
        <v/>
      </c>
      <c r="BK24" s="228" t="str">
        <f t="shared" si="45"/>
        <v/>
      </c>
      <c r="BL24" s="228" t="str">
        <f t="shared" si="46"/>
        <v/>
      </c>
      <c r="BM24" s="228" t="str">
        <f t="shared" si="21"/>
        <v/>
      </c>
      <c r="BN24" s="228" t="str">
        <f t="shared" si="22"/>
        <v/>
      </c>
      <c r="BO24" s="228" t="str">
        <f t="shared" si="23"/>
        <v/>
      </c>
      <c r="BP24" s="228" t="str">
        <f t="shared" si="24"/>
        <v/>
      </c>
      <c r="BQ24" s="228" t="str">
        <f t="shared" si="25"/>
        <v/>
      </c>
      <c r="BR24" s="228" t="str">
        <f t="shared" si="47"/>
        <v/>
      </c>
      <c r="BS24" s="228" t="str">
        <f t="shared" si="26"/>
        <v/>
      </c>
      <c r="BT24" s="228" t="str">
        <f t="shared" si="27"/>
        <v/>
      </c>
      <c r="BU24" s="228" t="str">
        <f t="shared" si="27"/>
        <v/>
      </c>
      <c r="BV24" s="228" t="str">
        <f t="shared" si="28"/>
        <v/>
      </c>
      <c r="BW24" s="228" t="str">
        <f t="shared" si="29"/>
        <v/>
      </c>
      <c r="BX24" s="228" t="str">
        <f t="shared" si="30"/>
        <v/>
      </c>
      <c r="BY24" s="228" t="str">
        <f t="shared" si="31"/>
        <v/>
      </c>
      <c r="BZ24" s="228" t="str">
        <f t="shared" si="32"/>
        <v/>
      </c>
      <c r="CA24" s="228" t="str">
        <f t="shared" si="33"/>
        <v/>
      </c>
      <c r="CB24" s="228" t="str">
        <f t="shared" si="34"/>
        <v/>
      </c>
      <c r="CC24" s="228" t="str">
        <f t="shared" si="34"/>
        <v/>
      </c>
      <c r="CD24" s="228" t="str">
        <f t="shared" si="35"/>
        <v/>
      </c>
      <c r="CE24" s="228" t="str">
        <f t="shared" si="36"/>
        <v/>
      </c>
      <c r="CF24" s="228" t="str">
        <f t="shared" si="37"/>
        <v/>
      </c>
      <c r="CG24" s="228" t="str">
        <f t="shared" si="38"/>
        <v/>
      </c>
      <c r="CH24" s="228"/>
      <c r="CI24" s="176" t="str">
        <f t="shared" si="14"/>
        <v/>
      </c>
      <c r="CJ24" s="176" t="str">
        <f t="shared" si="15"/>
        <v/>
      </c>
      <c r="CK24" s="230" t="str">
        <f t="shared" si="16"/>
        <v/>
      </c>
      <c r="CL24" s="231" t="str">
        <f t="shared" si="17"/>
        <v/>
      </c>
    </row>
    <row r="25" spans="1:90" ht="15" customHeight="1" x14ac:dyDescent="0.25">
      <c r="A25" s="140"/>
      <c r="B25" s="140"/>
      <c r="C25" s="140"/>
      <c r="D25" s="140"/>
      <c r="E25" s="41"/>
      <c r="F25" s="389"/>
      <c r="G25" s="390"/>
      <c r="H25" s="391"/>
      <c r="I25" s="393"/>
      <c r="J25" s="378"/>
      <c r="K25" s="375"/>
      <c r="L25" s="375"/>
      <c r="M25" s="377"/>
      <c r="N25" s="375"/>
      <c r="O25" s="375"/>
      <c r="P25" s="376"/>
      <c r="Q25" s="376"/>
      <c r="R25" s="378"/>
      <c r="S25" s="378"/>
      <c r="T25" s="378"/>
      <c r="U25" s="378"/>
      <c r="V25" s="378"/>
      <c r="W25" s="378"/>
      <c r="X25" s="378"/>
      <c r="Y25" s="380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68"/>
      <c r="AT25" s="12"/>
      <c r="AU25" s="12"/>
      <c r="AV25" s="12"/>
      <c r="AW25" s="6"/>
      <c r="AX25" s="3">
        <f t="shared" si="18"/>
        <v>0</v>
      </c>
      <c r="AY25" s="19" t="s">
        <v>123</v>
      </c>
      <c r="AZ25" s="9">
        <v>11</v>
      </c>
      <c r="BA25" s="17" t="str">
        <f t="shared" si="11"/>
        <v/>
      </c>
      <c r="BB25" s="87" t="s">
        <v>109</v>
      </c>
      <c r="BC25" s="20">
        <v>1</v>
      </c>
      <c r="BD25" s="236" t="str">
        <f t="shared" ref="BD25:BQ25" si="51">IF(G52="","",G52)</f>
        <v>No more values:</v>
      </c>
      <c r="BE25" s="237" t="str">
        <f t="shared" si="51"/>
        <v>No more values:</v>
      </c>
      <c r="BF25" s="237" t="str">
        <f t="shared" si="51"/>
        <v/>
      </c>
      <c r="BG25" s="237" t="str">
        <f t="shared" si="51"/>
        <v/>
      </c>
      <c r="BH25" s="237" t="str">
        <f t="shared" si="51"/>
        <v/>
      </c>
      <c r="BI25" s="237" t="str">
        <f t="shared" si="51"/>
        <v/>
      </c>
      <c r="BJ25" s="237" t="str">
        <f t="shared" si="51"/>
        <v/>
      </c>
      <c r="BK25" s="237" t="str">
        <f t="shared" si="51"/>
        <v/>
      </c>
      <c r="BL25" s="238" t="str">
        <f t="shared" si="51"/>
        <v/>
      </c>
      <c r="BM25" s="237" t="str">
        <f t="shared" si="51"/>
        <v/>
      </c>
      <c r="BN25" s="237" t="str">
        <f t="shared" si="51"/>
        <v/>
      </c>
      <c r="BO25" s="237" t="str">
        <f t="shared" si="51"/>
        <v/>
      </c>
      <c r="BP25" s="237" t="str">
        <f t="shared" si="51"/>
        <v/>
      </c>
      <c r="BQ25" s="237" t="str">
        <f t="shared" si="51"/>
        <v/>
      </c>
      <c r="BR25" s="237" t="str">
        <f>IF(V52="","",V52)</f>
        <v/>
      </c>
      <c r="BS25" s="237" t="str">
        <f t="shared" ref="BS25:CH25" si="52">IF(W52="","",W52)</f>
        <v/>
      </c>
      <c r="BT25" s="237" t="str">
        <f t="shared" si="52"/>
        <v/>
      </c>
      <c r="BU25" s="237" t="str">
        <f t="shared" si="52"/>
        <v/>
      </c>
      <c r="BV25" s="237" t="str">
        <f t="shared" si="52"/>
        <v/>
      </c>
      <c r="BW25" s="237" t="str">
        <f t="shared" si="52"/>
        <v/>
      </c>
      <c r="BX25" s="237" t="str">
        <f t="shared" si="52"/>
        <v/>
      </c>
      <c r="BY25" s="237" t="str">
        <f t="shared" si="52"/>
        <v/>
      </c>
      <c r="BZ25" s="237" t="str">
        <f t="shared" si="52"/>
        <v/>
      </c>
      <c r="CA25" s="237" t="str">
        <f t="shared" si="52"/>
        <v/>
      </c>
      <c r="CB25" s="237" t="str">
        <f t="shared" si="52"/>
        <v/>
      </c>
      <c r="CC25" s="237" t="str">
        <f t="shared" si="52"/>
        <v/>
      </c>
      <c r="CD25" s="237" t="str">
        <f t="shared" si="52"/>
        <v/>
      </c>
      <c r="CE25" s="237" t="str">
        <f t="shared" si="52"/>
        <v/>
      </c>
      <c r="CF25" s="237" t="str">
        <f t="shared" si="52"/>
        <v/>
      </c>
      <c r="CG25" s="237" t="str">
        <f t="shared" si="52"/>
        <v/>
      </c>
      <c r="CH25" s="237" t="str">
        <f t="shared" si="52"/>
        <v/>
      </c>
      <c r="CI25" s="237" t="str">
        <f>IF(AO52="","",AO52)</f>
        <v/>
      </c>
      <c r="CJ25" s="237" t="str">
        <f>IF(AP52="","",AP52)</f>
        <v/>
      </c>
      <c r="CK25" s="239" t="str">
        <f>IF(AQ52="","",AQ52)</f>
        <v/>
      </c>
      <c r="CL25" s="240" t="str">
        <f>IF(AR52="","",AR52)</f>
        <v/>
      </c>
    </row>
    <row r="26" spans="1:90" ht="15" customHeight="1" x14ac:dyDescent="0.25">
      <c r="A26" s="140"/>
      <c r="B26" s="140"/>
      <c r="C26" s="140"/>
      <c r="D26" s="140"/>
      <c r="E26" s="41"/>
      <c r="F26" s="162"/>
      <c r="G26" s="41"/>
      <c r="H26" s="54"/>
      <c r="I26" s="54"/>
      <c r="J26" s="91">
        <f ca="1">J21</f>
        <v>0</v>
      </c>
      <c r="K26" s="91">
        <f t="shared" ref="K26:AP26" ca="1" si="53">K21</f>
        <v>0</v>
      </c>
      <c r="L26" s="91">
        <f t="shared" ca="1" si="53"/>
        <v>0</v>
      </c>
      <c r="M26" s="91">
        <f t="shared" ca="1" si="53"/>
        <v>0</v>
      </c>
      <c r="N26" s="91">
        <f t="shared" ca="1" si="53"/>
        <v>0</v>
      </c>
      <c r="O26" s="91">
        <f t="shared" ca="1" si="53"/>
        <v>0</v>
      </c>
      <c r="P26" s="91">
        <f t="shared" ca="1" si="53"/>
        <v>0</v>
      </c>
      <c r="Q26" s="91">
        <f t="shared" ca="1" si="53"/>
        <v>0</v>
      </c>
      <c r="R26" s="91">
        <f t="shared" ca="1" si="53"/>
        <v>0</v>
      </c>
      <c r="S26" s="91">
        <f t="shared" ca="1" si="53"/>
        <v>0</v>
      </c>
      <c r="T26" s="91">
        <f t="shared" ca="1" si="53"/>
        <v>0</v>
      </c>
      <c r="U26" s="91">
        <f t="shared" ca="1" si="53"/>
        <v>0</v>
      </c>
      <c r="V26" s="91">
        <f t="shared" ca="1" si="53"/>
        <v>0</v>
      </c>
      <c r="W26" s="91">
        <f t="shared" ca="1" si="53"/>
        <v>0</v>
      </c>
      <c r="X26" s="91">
        <f t="shared" ca="1" si="53"/>
        <v>0</v>
      </c>
      <c r="Y26" s="91">
        <f t="shared" ca="1" si="53"/>
        <v>0</v>
      </c>
      <c r="Z26" s="91">
        <f t="shared" ca="1" si="53"/>
        <v>0</v>
      </c>
      <c r="AA26" s="91">
        <f t="shared" ca="1" si="53"/>
        <v>0</v>
      </c>
      <c r="AB26" s="91">
        <f t="shared" ca="1" si="53"/>
        <v>0</v>
      </c>
      <c r="AC26" s="91">
        <f t="shared" ca="1" si="53"/>
        <v>0</v>
      </c>
      <c r="AD26" s="91">
        <f t="shared" ca="1" si="53"/>
        <v>0</v>
      </c>
      <c r="AE26" s="91">
        <f t="shared" ca="1" si="53"/>
        <v>0</v>
      </c>
      <c r="AF26" s="91">
        <f t="shared" ca="1" si="53"/>
        <v>0</v>
      </c>
      <c r="AG26" s="91">
        <f t="shared" si="53"/>
        <v>0</v>
      </c>
      <c r="AH26" s="91">
        <f t="shared" ca="1" si="53"/>
        <v>0</v>
      </c>
      <c r="AI26" s="91">
        <f t="shared" ca="1" si="53"/>
        <v>0</v>
      </c>
      <c r="AJ26" s="91">
        <f t="shared" ca="1" si="53"/>
        <v>0</v>
      </c>
      <c r="AK26" s="91">
        <f t="shared" ca="1" si="53"/>
        <v>0</v>
      </c>
      <c r="AL26" s="91">
        <f t="shared" ca="1" si="53"/>
        <v>0</v>
      </c>
      <c r="AM26" s="91">
        <f t="shared" ca="1" si="53"/>
        <v>0</v>
      </c>
      <c r="AN26" s="91">
        <f t="shared" ca="1" si="53"/>
        <v>0</v>
      </c>
      <c r="AO26" s="91">
        <f t="shared" ca="1" si="53"/>
        <v>0</v>
      </c>
      <c r="AP26" s="91">
        <f t="shared" si="53"/>
        <v>0</v>
      </c>
      <c r="AQ26" s="41"/>
      <c r="AR26" s="41"/>
      <c r="AS26" s="68"/>
      <c r="AT26" s="12"/>
      <c r="AU26" s="12"/>
      <c r="AV26" s="12"/>
      <c r="AW26" s="6"/>
      <c r="AX26" s="3">
        <f t="shared" si="18"/>
        <v>0</v>
      </c>
      <c r="AY26" s="19" t="s">
        <v>124</v>
      </c>
      <c r="AZ26" s="9">
        <v>12</v>
      </c>
      <c r="BA26" s="17" t="str">
        <f t="shared" si="11"/>
        <v/>
      </c>
      <c r="BB26" s="87" t="s">
        <v>109</v>
      </c>
      <c r="BC26" s="20">
        <v>2</v>
      </c>
      <c r="BD26" s="158" t="str">
        <f t="shared" ref="BD26:BD34" si="54">IF(G53="","",G53)</f>
        <v>No more values:</v>
      </c>
      <c r="BE26" s="159" t="str">
        <f t="shared" ref="BE26:BG27" si="55">IF(H53="","",H53)</f>
        <v>No more values:</v>
      </c>
      <c r="BF26" s="159" t="str">
        <f t="shared" ref="BF26:BF34" si="56">IF(I53="","",I53)</f>
        <v/>
      </c>
      <c r="BG26" s="159" t="str">
        <f t="shared" si="55"/>
        <v/>
      </c>
      <c r="BH26" s="159" t="str">
        <f t="shared" ref="BH26:BQ26" si="57">IF(K53="","",K53)</f>
        <v/>
      </c>
      <c r="BI26" s="159" t="str">
        <f t="shared" si="57"/>
        <v/>
      </c>
      <c r="BJ26" s="159" t="str">
        <f t="shared" si="57"/>
        <v/>
      </c>
      <c r="BK26" s="159" t="str">
        <f t="shared" si="57"/>
        <v/>
      </c>
      <c r="BL26" s="161" t="str">
        <f t="shared" si="57"/>
        <v/>
      </c>
      <c r="BM26" s="159" t="str">
        <f t="shared" si="57"/>
        <v/>
      </c>
      <c r="BN26" s="159" t="str">
        <f t="shared" si="57"/>
        <v/>
      </c>
      <c r="BO26" s="159" t="str">
        <f t="shared" si="57"/>
        <v/>
      </c>
      <c r="BP26" s="159" t="str">
        <f t="shared" si="57"/>
        <v/>
      </c>
      <c r="BQ26" s="159" t="str">
        <f t="shared" si="57"/>
        <v/>
      </c>
      <c r="BR26" s="159" t="str">
        <f>IF(V53="","",V53)</f>
        <v/>
      </c>
      <c r="BS26" s="159" t="str">
        <f t="shared" ref="BS26:CH34" si="58">IF(W53="","",W53)</f>
        <v/>
      </c>
      <c r="BT26" s="159" t="str">
        <f t="shared" si="58"/>
        <v/>
      </c>
      <c r="BU26" s="159" t="str">
        <f t="shared" si="58"/>
        <v/>
      </c>
      <c r="BV26" s="159" t="str">
        <f t="shared" si="58"/>
        <v/>
      </c>
      <c r="BW26" s="159" t="str">
        <f t="shared" si="58"/>
        <v/>
      </c>
      <c r="BX26" s="159" t="str">
        <f t="shared" si="58"/>
        <v/>
      </c>
      <c r="BY26" s="159" t="str">
        <f t="shared" si="58"/>
        <v/>
      </c>
      <c r="BZ26" s="159" t="str">
        <f t="shared" si="58"/>
        <v/>
      </c>
      <c r="CA26" s="159" t="str">
        <f t="shared" si="58"/>
        <v/>
      </c>
      <c r="CB26" s="159" t="str">
        <f t="shared" si="58"/>
        <v/>
      </c>
      <c r="CC26" s="159" t="str">
        <f t="shared" si="58"/>
        <v/>
      </c>
      <c r="CD26" s="159" t="str">
        <f t="shared" si="58"/>
        <v/>
      </c>
      <c r="CE26" s="159" t="str">
        <f t="shared" si="58"/>
        <v/>
      </c>
      <c r="CF26" s="159" t="str">
        <f t="shared" si="58"/>
        <v/>
      </c>
      <c r="CG26" s="159" t="str">
        <f t="shared" si="58"/>
        <v/>
      </c>
      <c r="CH26" s="159" t="str">
        <f t="shared" si="58"/>
        <v/>
      </c>
      <c r="CI26" s="159" t="str">
        <f t="shared" ref="CI26:CK32" si="59">IF(AO53="","",AO53)</f>
        <v/>
      </c>
      <c r="CJ26" s="159" t="str">
        <f t="shared" si="59"/>
        <v/>
      </c>
      <c r="CK26" s="160" t="str">
        <f t="shared" si="59"/>
        <v/>
      </c>
      <c r="CL26" s="241" t="str">
        <f t="shared" ref="CL26:CL34" si="60">IF(AR53="","",AR53)</f>
        <v/>
      </c>
    </row>
    <row r="27" spans="1:90" x14ac:dyDescent="0.25">
      <c r="A27" s="140"/>
      <c r="B27" s="140"/>
      <c r="C27" s="140"/>
      <c r="D27" s="140"/>
      <c r="E27" s="41"/>
      <c r="F27" s="41"/>
      <c r="G27" s="41"/>
      <c r="H27" s="41"/>
      <c r="I27" s="41"/>
      <c r="J27" s="277" t="str">
        <f ca="1">J13</f>
        <v/>
      </c>
      <c r="K27" s="277" t="str">
        <f t="shared" ref="K27:AP27" ca="1" si="61">K13</f>
        <v/>
      </c>
      <c r="L27" s="277" t="str">
        <f t="shared" ca="1" si="61"/>
        <v/>
      </c>
      <c r="M27" s="277" t="str">
        <f t="shared" ca="1" si="61"/>
        <v/>
      </c>
      <c r="N27" s="277" t="str">
        <f t="shared" ca="1" si="61"/>
        <v/>
      </c>
      <c r="O27" s="277" t="str">
        <f t="shared" ca="1" si="61"/>
        <v/>
      </c>
      <c r="P27" s="277" t="str">
        <f t="shared" ca="1" si="61"/>
        <v/>
      </c>
      <c r="Q27" s="277" t="str">
        <f t="shared" ca="1" si="61"/>
        <v/>
      </c>
      <c r="R27" s="277" t="str">
        <f t="shared" ca="1" si="61"/>
        <v/>
      </c>
      <c r="S27" s="277" t="str">
        <f t="shared" ca="1" si="61"/>
        <v/>
      </c>
      <c r="T27" s="277" t="str">
        <f t="shared" ca="1" si="61"/>
        <v/>
      </c>
      <c r="U27" s="277" t="str">
        <f t="shared" ca="1" si="61"/>
        <v/>
      </c>
      <c r="V27" s="277" t="str">
        <f t="shared" ca="1" si="61"/>
        <v/>
      </c>
      <c r="W27" s="277" t="str">
        <f t="shared" ca="1" si="61"/>
        <v/>
      </c>
      <c r="X27" s="277" t="str">
        <f t="shared" ca="1" si="61"/>
        <v/>
      </c>
      <c r="Y27" s="277" t="str">
        <f t="shared" ca="1" si="61"/>
        <v/>
      </c>
      <c r="Z27" s="277" t="str">
        <f t="shared" ca="1" si="61"/>
        <v/>
      </c>
      <c r="AA27" s="277" t="str">
        <f t="shared" ca="1" si="61"/>
        <v/>
      </c>
      <c r="AB27" s="277" t="str">
        <f t="shared" ca="1" si="61"/>
        <v/>
      </c>
      <c r="AC27" s="277" t="str">
        <f t="shared" ca="1" si="61"/>
        <v/>
      </c>
      <c r="AD27" s="277" t="str">
        <f t="shared" ca="1" si="61"/>
        <v/>
      </c>
      <c r="AE27" s="277" t="str">
        <f t="shared" ca="1" si="61"/>
        <v/>
      </c>
      <c r="AF27" s="277" t="str">
        <f t="shared" ca="1" si="61"/>
        <v/>
      </c>
      <c r="AG27" s="277">
        <f t="shared" si="61"/>
        <v>0</v>
      </c>
      <c r="AH27" s="277" t="str">
        <f t="shared" ca="1" si="61"/>
        <v/>
      </c>
      <c r="AI27" s="277" t="str">
        <f t="shared" ca="1" si="61"/>
        <v/>
      </c>
      <c r="AJ27" s="277" t="str">
        <f t="shared" ca="1" si="61"/>
        <v/>
      </c>
      <c r="AK27" s="277" t="str">
        <f t="shared" ca="1" si="61"/>
        <v/>
      </c>
      <c r="AL27" s="277" t="str">
        <f t="shared" ca="1" si="61"/>
        <v/>
      </c>
      <c r="AM27" s="277" t="str">
        <f t="shared" ca="1" si="61"/>
        <v/>
      </c>
      <c r="AN27" s="277" t="str">
        <f t="shared" ca="1" si="61"/>
        <v/>
      </c>
      <c r="AO27" s="277" t="str">
        <f t="shared" ca="1" si="61"/>
        <v/>
      </c>
      <c r="AP27" s="277" t="str">
        <f t="shared" ca="1" si="61"/>
        <v/>
      </c>
      <c r="AQ27" s="41"/>
      <c r="AR27" s="41"/>
      <c r="AS27" s="68"/>
      <c r="AT27" s="12"/>
      <c r="AU27" s="12"/>
      <c r="AV27" s="12"/>
      <c r="AW27" s="6"/>
      <c r="AX27" s="3">
        <f t="shared" si="18"/>
        <v>0</v>
      </c>
      <c r="AY27" s="19" t="s">
        <v>187</v>
      </c>
      <c r="AZ27" s="9">
        <v>13</v>
      </c>
      <c r="BA27" s="17" t="str">
        <f t="shared" si="11"/>
        <v/>
      </c>
      <c r="BB27" s="87" t="s">
        <v>109</v>
      </c>
      <c r="BC27" s="20">
        <v>3</v>
      </c>
      <c r="BD27" s="158" t="str">
        <f t="shared" si="54"/>
        <v/>
      </c>
      <c r="BE27" s="159" t="str">
        <f t="shared" si="55"/>
        <v/>
      </c>
      <c r="BF27" s="159" t="str">
        <f t="shared" si="56"/>
        <v/>
      </c>
      <c r="BG27" s="159" t="str">
        <f t="shared" si="55"/>
        <v/>
      </c>
      <c r="BH27" s="159" t="str">
        <f t="shared" ref="BH27:BH34" si="62">IF(K54="","",K54)</f>
        <v/>
      </c>
      <c r="BI27" s="159" t="str">
        <f t="shared" ref="BI27:BI34" si="63">IF(L54="","",L54)</f>
        <v/>
      </c>
      <c r="BJ27" s="159" t="str">
        <f t="shared" ref="BJ27:BJ34" si="64">IF(M54="","",M54)</f>
        <v/>
      </c>
      <c r="BK27" s="159" t="str">
        <f t="shared" ref="BK27:BK34" si="65">IF(N54="","",N54)</f>
        <v/>
      </c>
      <c r="BL27" s="159" t="str">
        <f t="shared" ref="BL27:BL34" si="66">IF(O54="","",O54)</f>
        <v/>
      </c>
      <c r="BM27" s="159" t="str">
        <f t="shared" ref="BM27:BM34" si="67">IF(P54="","",P54)</f>
        <v/>
      </c>
      <c r="BN27" s="159" t="str">
        <f t="shared" ref="BN27:BN34" si="68">IF(Q54="","",Q54)</f>
        <v/>
      </c>
      <c r="BO27" s="159" t="str">
        <f t="shared" ref="BO27:BO34" si="69">IF(R54="","",R54)</f>
        <v/>
      </c>
      <c r="BP27" s="159" t="str">
        <f t="shared" ref="BP27:BP34" si="70">IF(S54="","",S54)</f>
        <v/>
      </c>
      <c r="BQ27" s="159" t="str">
        <f t="shared" ref="BQ27:BQ34" si="71">IF(T54="","",T54)</f>
        <v/>
      </c>
      <c r="BR27" s="159" t="str">
        <f t="shared" ref="BR27:BR34" si="72">IF(V54="","",V54)</f>
        <v/>
      </c>
      <c r="BS27" s="159" t="str">
        <f t="shared" si="58"/>
        <v/>
      </c>
      <c r="BT27" s="159" t="str">
        <f t="shared" si="58"/>
        <v/>
      </c>
      <c r="BU27" s="159" t="str">
        <f t="shared" si="58"/>
        <v/>
      </c>
      <c r="BV27" s="159" t="str">
        <f t="shared" si="58"/>
        <v/>
      </c>
      <c r="BW27" s="159" t="str">
        <f t="shared" si="58"/>
        <v/>
      </c>
      <c r="BX27" s="159" t="str">
        <f t="shared" si="58"/>
        <v/>
      </c>
      <c r="BY27" s="159" t="str">
        <f t="shared" si="58"/>
        <v/>
      </c>
      <c r="BZ27" s="159" t="str">
        <f t="shared" si="58"/>
        <v/>
      </c>
      <c r="CA27" s="159" t="str">
        <f t="shared" si="58"/>
        <v/>
      </c>
      <c r="CB27" s="159" t="str">
        <f t="shared" si="58"/>
        <v/>
      </c>
      <c r="CC27" s="159" t="str">
        <f t="shared" si="58"/>
        <v/>
      </c>
      <c r="CD27" s="159" t="str">
        <f t="shared" si="58"/>
        <v/>
      </c>
      <c r="CE27" s="159" t="str">
        <f t="shared" si="58"/>
        <v/>
      </c>
      <c r="CF27" s="159" t="str">
        <f t="shared" si="58"/>
        <v/>
      </c>
      <c r="CG27" s="159" t="str">
        <f t="shared" si="58"/>
        <v/>
      </c>
      <c r="CH27" s="159" t="str">
        <f t="shared" si="58"/>
        <v/>
      </c>
      <c r="CI27" s="159" t="str">
        <f t="shared" si="59"/>
        <v/>
      </c>
      <c r="CJ27" s="159" t="str">
        <f t="shared" si="59"/>
        <v/>
      </c>
      <c r="CK27" s="160" t="str">
        <f t="shared" si="59"/>
        <v/>
      </c>
      <c r="CL27" s="241" t="str">
        <f t="shared" si="60"/>
        <v/>
      </c>
    </row>
    <row r="28" spans="1:90" x14ac:dyDescent="0.25">
      <c r="A28" s="143"/>
      <c r="B28" s="143"/>
      <c r="C28" s="143"/>
      <c r="D28" s="14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S28" s="68"/>
      <c r="AT28" s="12"/>
      <c r="AU28" s="12"/>
      <c r="AV28" s="12"/>
      <c r="AW28" s="6"/>
      <c r="AX28" s="3">
        <f t="shared" si="18"/>
        <v>0</v>
      </c>
      <c r="AY28" s="19" t="s">
        <v>125</v>
      </c>
      <c r="AZ28" s="9">
        <v>14</v>
      </c>
      <c r="BA28" s="17" t="str">
        <f t="shared" si="11"/>
        <v/>
      </c>
      <c r="BB28" s="87" t="s">
        <v>109</v>
      </c>
      <c r="BC28" s="20">
        <v>4</v>
      </c>
      <c r="BD28" s="158" t="str">
        <f t="shared" si="54"/>
        <v/>
      </c>
      <c r="BE28" s="159" t="str">
        <f t="shared" ref="BE28:BE34" si="73">IF(H55="","",H55)</f>
        <v/>
      </c>
      <c r="BF28" s="159" t="str">
        <f t="shared" si="56"/>
        <v/>
      </c>
      <c r="BG28" s="159" t="str">
        <f t="shared" ref="BG28:BG34" si="74">IF(J55="","",J55)</f>
        <v/>
      </c>
      <c r="BH28" s="159" t="str">
        <f t="shared" si="62"/>
        <v/>
      </c>
      <c r="BI28" s="159" t="str">
        <f t="shared" si="63"/>
        <v/>
      </c>
      <c r="BJ28" s="159" t="str">
        <f t="shared" si="64"/>
        <v/>
      </c>
      <c r="BK28" s="159" t="str">
        <f t="shared" si="65"/>
        <v/>
      </c>
      <c r="BL28" s="159" t="str">
        <f t="shared" si="66"/>
        <v/>
      </c>
      <c r="BM28" s="159" t="str">
        <f t="shared" si="67"/>
        <v/>
      </c>
      <c r="BN28" s="159" t="str">
        <f t="shared" si="68"/>
        <v/>
      </c>
      <c r="BO28" s="159" t="str">
        <f t="shared" si="69"/>
        <v/>
      </c>
      <c r="BP28" s="159" t="str">
        <f t="shared" si="70"/>
        <v/>
      </c>
      <c r="BQ28" s="159" t="str">
        <f t="shared" si="71"/>
        <v/>
      </c>
      <c r="BR28" s="159" t="str">
        <f t="shared" si="72"/>
        <v/>
      </c>
      <c r="BS28" s="159" t="str">
        <f t="shared" si="58"/>
        <v/>
      </c>
      <c r="BT28" s="159" t="str">
        <f t="shared" si="58"/>
        <v/>
      </c>
      <c r="BU28" s="159" t="str">
        <f t="shared" si="58"/>
        <v/>
      </c>
      <c r="BV28" s="159" t="str">
        <f t="shared" si="58"/>
        <v/>
      </c>
      <c r="BW28" s="159" t="str">
        <f t="shared" si="58"/>
        <v/>
      </c>
      <c r="BX28" s="159" t="str">
        <f t="shared" si="58"/>
        <v/>
      </c>
      <c r="BY28" s="159" t="str">
        <f t="shared" si="58"/>
        <v/>
      </c>
      <c r="BZ28" s="159" t="str">
        <f t="shared" si="58"/>
        <v/>
      </c>
      <c r="CA28" s="159" t="str">
        <f t="shared" si="58"/>
        <v/>
      </c>
      <c r="CB28" s="159" t="str">
        <f t="shared" si="58"/>
        <v/>
      </c>
      <c r="CC28" s="159" t="str">
        <f t="shared" si="58"/>
        <v/>
      </c>
      <c r="CD28" s="159" t="str">
        <f t="shared" si="58"/>
        <v/>
      </c>
      <c r="CE28" s="159" t="str">
        <f t="shared" si="58"/>
        <v/>
      </c>
      <c r="CF28" s="159" t="str">
        <f t="shared" si="58"/>
        <v/>
      </c>
      <c r="CG28" s="159" t="str">
        <f t="shared" si="58"/>
        <v/>
      </c>
      <c r="CH28" s="159" t="str">
        <f t="shared" si="58"/>
        <v/>
      </c>
      <c r="CI28" s="159" t="str">
        <f t="shared" si="59"/>
        <v/>
      </c>
      <c r="CJ28" s="159" t="str">
        <f t="shared" si="59"/>
        <v/>
      </c>
      <c r="CK28" s="160" t="str">
        <f t="shared" si="59"/>
        <v/>
      </c>
      <c r="CL28" s="241" t="str">
        <f t="shared" si="60"/>
        <v/>
      </c>
    </row>
    <row r="29" spans="1:90" x14ac:dyDescent="0.25">
      <c r="AS29" s="68"/>
      <c r="AT29" s="12"/>
      <c r="AU29" s="12"/>
      <c r="AV29" s="12"/>
      <c r="AW29" s="6"/>
      <c r="AX29" s="3">
        <f t="shared" si="18"/>
        <v>0</v>
      </c>
      <c r="AY29" s="19" t="s">
        <v>126</v>
      </c>
      <c r="AZ29" s="9">
        <v>15</v>
      </c>
      <c r="BA29" s="17" t="str">
        <f t="shared" si="11"/>
        <v/>
      </c>
      <c r="BB29" s="87" t="s">
        <v>109</v>
      </c>
      <c r="BC29" s="20">
        <v>5</v>
      </c>
      <c r="BD29" s="158" t="str">
        <f t="shared" si="54"/>
        <v/>
      </c>
      <c r="BE29" s="159" t="str">
        <f t="shared" si="73"/>
        <v/>
      </c>
      <c r="BF29" s="159" t="str">
        <f t="shared" si="56"/>
        <v/>
      </c>
      <c r="BG29" s="159" t="str">
        <f t="shared" si="74"/>
        <v/>
      </c>
      <c r="BH29" s="159" t="str">
        <f t="shared" si="62"/>
        <v/>
      </c>
      <c r="BI29" s="159" t="str">
        <f t="shared" si="63"/>
        <v/>
      </c>
      <c r="BJ29" s="159" t="str">
        <f t="shared" si="64"/>
        <v/>
      </c>
      <c r="BK29" s="159" t="str">
        <f t="shared" si="65"/>
        <v/>
      </c>
      <c r="BL29" s="159" t="str">
        <f t="shared" si="66"/>
        <v/>
      </c>
      <c r="BM29" s="159" t="str">
        <f t="shared" si="67"/>
        <v/>
      </c>
      <c r="BN29" s="159" t="str">
        <f t="shared" si="68"/>
        <v/>
      </c>
      <c r="BO29" s="159" t="str">
        <f t="shared" si="69"/>
        <v/>
      </c>
      <c r="BP29" s="159" t="str">
        <f t="shared" si="70"/>
        <v/>
      </c>
      <c r="BQ29" s="159" t="str">
        <f t="shared" si="71"/>
        <v/>
      </c>
      <c r="BR29" s="159" t="str">
        <f t="shared" si="72"/>
        <v/>
      </c>
      <c r="BS29" s="159" t="str">
        <f t="shared" si="58"/>
        <v/>
      </c>
      <c r="BT29" s="159" t="str">
        <f t="shared" si="58"/>
        <v/>
      </c>
      <c r="BU29" s="159" t="str">
        <f t="shared" si="58"/>
        <v/>
      </c>
      <c r="BV29" s="159" t="str">
        <f t="shared" si="58"/>
        <v/>
      </c>
      <c r="BW29" s="159" t="str">
        <f t="shared" si="58"/>
        <v/>
      </c>
      <c r="BX29" s="159" t="str">
        <f t="shared" si="58"/>
        <v/>
      </c>
      <c r="BY29" s="159" t="str">
        <f t="shared" si="58"/>
        <v/>
      </c>
      <c r="BZ29" s="159" t="str">
        <f t="shared" si="58"/>
        <v/>
      </c>
      <c r="CA29" s="159" t="str">
        <f t="shared" si="58"/>
        <v/>
      </c>
      <c r="CB29" s="159" t="str">
        <f t="shared" si="58"/>
        <v/>
      </c>
      <c r="CC29" s="159" t="str">
        <f t="shared" si="58"/>
        <v/>
      </c>
      <c r="CD29" s="159" t="str">
        <f t="shared" si="58"/>
        <v/>
      </c>
      <c r="CE29" s="159" t="str">
        <f t="shared" si="58"/>
        <v/>
      </c>
      <c r="CF29" s="159" t="str">
        <f t="shared" si="58"/>
        <v/>
      </c>
      <c r="CG29" s="159" t="str">
        <f t="shared" si="58"/>
        <v/>
      </c>
      <c r="CH29" s="159" t="str">
        <f t="shared" si="58"/>
        <v/>
      </c>
      <c r="CI29" s="159" t="str">
        <f t="shared" si="59"/>
        <v/>
      </c>
      <c r="CJ29" s="159" t="str">
        <f t="shared" si="59"/>
        <v/>
      </c>
      <c r="CK29" s="160" t="str">
        <f t="shared" si="59"/>
        <v/>
      </c>
      <c r="CL29" s="241" t="str">
        <f t="shared" si="60"/>
        <v/>
      </c>
    </row>
    <row r="30" spans="1:90" x14ac:dyDescent="0.25">
      <c r="AS30" s="68"/>
      <c r="AT30" s="12"/>
      <c r="AU30" s="12"/>
      <c r="AV30" s="12"/>
      <c r="AW30" s="6"/>
      <c r="AX30" s="3">
        <f t="shared" si="18"/>
        <v>0</v>
      </c>
      <c r="AY30" s="19" t="s">
        <v>127</v>
      </c>
      <c r="AZ30" s="9">
        <v>16</v>
      </c>
      <c r="BA30" s="17" t="str">
        <f t="shared" si="11"/>
        <v/>
      </c>
      <c r="BB30" s="87" t="s">
        <v>109</v>
      </c>
      <c r="BC30" s="20">
        <v>6</v>
      </c>
      <c r="BD30" s="158" t="str">
        <f t="shared" si="54"/>
        <v/>
      </c>
      <c r="BE30" s="159" t="str">
        <f t="shared" si="73"/>
        <v/>
      </c>
      <c r="BF30" s="159" t="str">
        <f t="shared" si="56"/>
        <v/>
      </c>
      <c r="BG30" s="159" t="str">
        <f t="shared" si="74"/>
        <v/>
      </c>
      <c r="BH30" s="159" t="str">
        <f t="shared" si="62"/>
        <v/>
      </c>
      <c r="BI30" s="159" t="str">
        <f t="shared" si="63"/>
        <v/>
      </c>
      <c r="BJ30" s="159" t="str">
        <f t="shared" si="64"/>
        <v/>
      </c>
      <c r="BK30" s="159" t="str">
        <f t="shared" si="65"/>
        <v/>
      </c>
      <c r="BL30" s="159" t="str">
        <f t="shared" si="66"/>
        <v/>
      </c>
      <c r="BM30" s="159" t="str">
        <f t="shared" si="67"/>
        <v/>
      </c>
      <c r="BN30" s="159" t="str">
        <f t="shared" si="68"/>
        <v/>
      </c>
      <c r="BO30" s="159" t="str">
        <f t="shared" si="69"/>
        <v/>
      </c>
      <c r="BP30" s="159" t="str">
        <f t="shared" si="70"/>
        <v/>
      </c>
      <c r="BQ30" s="159" t="str">
        <f t="shared" si="71"/>
        <v/>
      </c>
      <c r="BR30" s="159" t="str">
        <f t="shared" si="72"/>
        <v/>
      </c>
      <c r="BS30" s="159" t="str">
        <f t="shared" si="58"/>
        <v/>
      </c>
      <c r="BT30" s="159" t="str">
        <f t="shared" si="58"/>
        <v/>
      </c>
      <c r="BU30" s="159" t="str">
        <f t="shared" si="58"/>
        <v/>
      </c>
      <c r="BV30" s="159" t="str">
        <f t="shared" si="58"/>
        <v/>
      </c>
      <c r="BW30" s="159" t="str">
        <f t="shared" si="58"/>
        <v/>
      </c>
      <c r="BX30" s="159" t="str">
        <f t="shared" si="58"/>
        <v/>
      </c>
      <c r="BY30" s="159" t="str">
        <f t="shared" si="58"/>
        <v/>
      </c>
      <c r="BZ30" s="159" t="str">
        <f t="shared" si="58"/>
        <v/>
      </c>
      <c r="CA30" s="159" t="str">
        <f t="shared" si="58"/>
        <v/>
      </c>
      <c r="CB30" s="159" t="str">
        <f t="shared" si="58"/>
        <v/>
      </c>
      <c r="CC30" s="159" t="str">
        <f t="shared" si="58"/>
        <v/>
      </c>
      <c r="CD30" s="159" t="str">
        <f t="shared" si="58"/>
        <v/>
      </c>
      <c r="CE30" s="159" t="str">
        <f t="shared" si="58"/>
        <v/>
      </c>
      <c r="CF30" s="159" t="str">
        <f t="shared" si="58"/>
        <v/>
      </c>
      <c r="CG30" s="159" t="str">
        <f t="shared" si="58"/>
        <v/>
      </c>
      <c r="CH30" s="159" t="str">
        <f t="shared" si="58"/>
        <v/>
      </c>
      <c r="CI30" s="159" t="str">
        <f t="shared" si="59"/>
        <v/>
      </c>
      <c r="CJ30" s="159" t="str">
        <f t="shared" si="59"/>
        <v/>
      </c>
      <c r="CK30" s="160" t="str">
        <f t="shared" si="59"/>
        <v/>
      </c>
      <c r="CL30" s="241" t="str">
        <f t="shared" si="60"/>
        <v/>
      </c>
    </row>
    <row r="31" spans="1:90" ht="51" x14ac:dyDescent="0.25">
      <c r="F31" s="3"/>
      <c r="G31" s="3"/>
      <c r="H31" s="1" t="s">
        <v>0</v>
      </c>
      <c r="I31" s="182" t="s">
        <v>247</v>
      </c>
      <c r="J31" s="144" t="s">
        <v>171</v>
      </c>
      <c r="K31" s="144" t="s">
        <v>50</v>
      </c>
      <c r="L31" s="144"/>
      <c r="M31" s="144" t="s">
        <v>1</v>
      </c>
      <c r="N31" s="144" t="s">
        <v>172</v>
      </c>
      <c r="O31" s="144"/>
      <c r="P31" s="145" t="s">
        <v>51</v>
      </c>
      <c r="Q31" s="146" t="s">
        <v>218</v>
      </c>
      <c r="R31" s="146" t="s">
        <v>53</v>
      </c>
      <c r="S31" s="146" t="s">
        <v>266</v>
      </c>
      <c r="T31" s="146" t="s">
        <v>220</v>
      </c>
      <c r="U31" s="147" t="s">
        <v>166</v>
      </c>
      <c r="V31" s="146" t="s">
        <v>174</v>
      </c>
      <c r="W31" s="148" t="s">
        <v>55</v>
      </c>
      <c r="X31" s="148" t="s">
        <v>56</v>
      </c>
      <c r="Y31" s="146" t="s">
        <v>57</v>
      </c>
      <c r="Z31" s="146" t="s">
        <v>58</v>
      </c>
      <c r="AA31" s="146" t="s">
        <v>59</v>
      </c>
      <c r="AB31" s="148" t="s">
        <v>60</v>
      </c>
      <c r="AC31" s="148" t="s">
        <v>61</v>
      </c>
      <c r="AD31" s="149" t="s">
        <v>62</v>
      </c>
      <c r="AE31" s="146" t="s">
        <v>64</v>
      </c>
      <c r="AF31" s="146" t="s">
        <v>221</v>
      </c>
      <c r="AG31" s="150" t="s">
        <v>266</v>
      </c>
      <c r="AH31" s="146" t="s">
        <v>65</v>
      </c>
      <c r="AI31" s="146" t="s">
        <v>66</v>
      </c>
      <c r="AJ31" s="146" t="s">
        <v>54</v>
      </c>
      <c r="AK31" s="146" t="s">
        <v>223</v>
      </c>
      <c r="AL31" s="219" t="s">
        <v>255</v>
      </c>
      <c r="AM31" s="147" t="s">
        <v>166</v>
      </c>
      <c r="AN31" s="2" t="s">
        <v>67</v>
      </c>
      <c r="AO31" s="30" t="s">
        <v>154</v>
      </c>
      <c r="AP31" s="225" t="s">
        <v>260</v>
      </c>
      <c r="AQ31" s="30" t="s">
        <v>205</v>
      </c>
      <c r="AR31" s="178" t="s">
        <v>239</v>
      </c>
      <c r="AS31" s="68"/>
      <c r="AT31" s="12"/>
      <c r="AU31" s="12"/>
      <c r="AV31" s="12"/>
      <c r="AW31" s="6"/>
      <c r="AX31" s="3">
        <f t="shared" si="18"/>
        <v>0</v>
      </c>
      <c r="AY31" s="19" t="s">
        <v>128</v>
      </c>
      <c r="AZ31" s="9">
        <v>17</v>
      </c>
      <c r="BA31" s="17" t="str">
        <f t="shared" si="11"/>
        <v/>
      </c>
      <c r="BB31" s="87" t="s">
        <v>109</v>
      </c>
      <c r="BC31" s="20">
        <v>7</v>
      </c>
      <c r="BD31" s="158" t="str">
        <f t="shared" si="54"/>
        <v/>
      </c>
      <c r="BE31" s="159" t="str">
        <f t="shared" si="73"/>
        <v/>
      </c>
      <c r="BF31" s="159" t="str">
        <f t="shared" si="56"/>
        <v/>
      </c>
      <c r="BG31" s="159" t="str">
        <f t="shared" si="74"/>
        <v/>
      </c>
      <c r="BH31" s="159" t="str">
        <f t="shared" si="62"/>
        <v/>
      </c>
      <c r="BI31" s="159" t="str">
        <f t="shared" si="63"/>
        <v/>
      </c>
      <c r="BJ31" s="159" t="str">
        <f t="shared" si="64"/>
        <v/>
      </c>
      <c r="BK31" s="159" t="str">
        <f t="shared" si="65"/>
        <v/>
      </c>
      <c r="BL31" s="159" t="str">
        <f t="shared" si="66"/>
        <v/>
      </c>
      <c r="BM31" s="159" t="str">
        <f t="shared" si="67"/>
        <v/>
      </c>
      <c r="BN31" s="159" t="str">
        <f t="shared" si="68"/>
        <v/>
      </c>
      <c r="BO31" s="159" t="str">
        <f t="shared" si="69"/>
        <v/>
      </c>
      <c r="BP31" s="159" t="str">
        <f t="shared" si="70"/>
        <v/>
      </c>
      <c r="BQ31" s="159" t="str">
        <f t="shared" si="71"/>
        <v/>
      </c>
      <c r="BR31" s="159" t="str">
        <f t="shared" si="72"/>
        <v/>
      </c>
      <c r="BS31" s="159" t="str">
        <f t="shared" si="58"/>
        <v/>
      </c>
      <c r="BT31" s="159" t="str">
        <f t="shared" si="58"/>
        <v/>
      </c>
      <c r="BU31" s="159" t="str">
        <f t="shared" si="58"/>
        <v/>
      </c>
      <c r="BV31" s="159" t="str">
        <f t="shared" si="58"/>
        <v/>
      </c>
      <c r="BW31" s="159" t="str">
        <f t="shared" si="58"/>
        <v/>
      </c>
      <c r="BX31" s="159" t="str">
        <f t="shared" si="58"/>
        <v/>
      </c>
      <c r="BY31" s="159" t="str">
        <f t="shared" si="58"/>
        <v/>
      </c>
      <c r="BZ31" s="159" t="str">
        <f t="shared" si="58"/>
        <v/>
      </c>
      <c r="CA31" s="159" t="str">
        <f t="shared" si="58"/>
        <v/>
      </c>
      <c r="CB31" s="159" t="str">
        <f t="shared" si="58"/>
        <v/>
      </c>
      <c r="CC31" s="159" t="str">
        <f t="shared" si="58"/>
        <v/>
      </c>
      <c r="CD31" s="159" t="str">
        <f t="shared" si="58"/>
        <v/>
      </c>
      <c r="CE31" s="159" t="str">
        <f t="shared" si="58"/>
        <v/>
      </c>
      <c r="CF31" s="159" t="str">
        <f t="shared" si="58"/>
        <v/>
      </c>
      <c r="CG31" s="159" t="str">
        <f t="shared" si="58"/>
        <v/>
      </c>
      <c r="CH31" s="159" t="str">
        <f t="shared" si="58"/>
        <v/>
      </c>
      <c r="CI31" s="159" t="str">
        <f t="shared" si="59"/>
        <v/>
      </c>
      <c r="CJ31" s="159" t="str">
        <f t="shared" si="59"/>
        <v/>
      </c>
      <c r="CK31" s="160" t="str">
        <f t="shared" si="59"/>
        <v/>
      </c>
      <c r="CL31" s="241" t="str">
        <f t="shared" si="60"/>
        <v/>
      </c>
    </row>
    <row r="32" spans="1:90" ht="18" x14ac:dyDescent="0.25">
      <c r="F32" s="3"/>
      <c r="G32" s="294" t="s">
        <v>44</v>
      </c>
      <c r="H32" s="284" t="str">
        <f>H$9</f>
        <v>CYCLE</v>
      </c>
      <c r="I32" s="370" t="str">
        <f t="shared" ref="I32:O32" si="75">I$10</f>
        <v>MATTE GRADE</v>
      </c>
      <c r="J32" s="370" t="str">
        <f t="shared" si="75"/>
        <v>MATTE PRODUCED</v>
      </c>
      <c r="K32" s="370" t="str">
        <f t="shared" si="75"/>
        <v>MATTE TREATED</v>
      </c>
      <c r="L32" s="370" t="str">
        <f t="shared" si="75"/>
        <v>MATTE SKULL PRODUCTION</v>
      </c>
      <c r="M32" s="370" t="str">
        <f t="shared" si="75"/>
        <v>BLISTER PRODUCED</v>
      </c>
      <c r="N32" s="370" t="str">
        <f t="shared" si="75"/>
        <v>BLISTER TREATED</v>
      </c>
      <c r="O32" s="370" t="str">
        <f t="shared" si="75"/>
        <v>BLISTER SKULL PRODUCTION</v>
      </c>
      <c r="P32" s="373" t="s">
        <v>6</v>
      </c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110"/>
      <c r="AJ32" s="3"/>
      <c r="AK32" s="3"/>
      <c r="AL32" s="3"/>
      <c r="AM32" s="3"/>
      <c r="AN32" s="3"/>
      <c r="AO32" s="3"/>
      <c r="AP32" s="3"/>
      <c r="AQ32" s="3"/>
      <c r="AS32" s="70"/>
      <c r="AT32" s="21"/>
      <c r="AU32" s="21"/>
      <c r="AV32" s="12"/>
      <c r="AW32" s="6"/>
      <c r="AX32" s="3">
        <f t="shared" si="18"/>
        <v>0</v>
      </c>
      <c r="AY32" s="19" t="s">
        <v>129</v>
      </c>
      <c r="AZ32" s="9">
        <v>18</v>
      </c>
      <c r="BA32" s="17" t="str">
        <f t="shared" si="11"/>
        <v/>
      </c>
      <c r="BB32" s="87" t="s">
        <v>109</v>
      </c>
      <c r="BC32" s="20">
        <v>8</v>
      </c>
      <c r="BD32" s="158" t="str">
        <f t="shared" si="54"/>
        <v/>
      </c>
      <c r="BE32" s="159" t="str">
        <f t="shared" si="73"/>
        <v/>
      </c>
      <c r="BF32" s="159" t="str">
        <f t="shared" si="56"/>
        <v/>
      </c>
      <c r="BG32" s="159" t="str">
        <f t="shared" si="74"/>
        <v/>
      </c>
      <c r="BH32" s="159" t="str">
        <f t="shared" si="62"/>
        <v/>
      </c>
      <c r="BI32" s="159" t="str">
        <f t="shared" si="63"/>
        <v/>
      </c>
      <c r="BJ32" s="159" t="str">
        <f t="shared" si="64"/>
        <v/>
      </c>
      <c r="BK32" s="159" t="str">
        <f t="shared" si="65"/>
        <v/>
      </c>
      <c r="BL32" s="159" t="str">
        <f t="shared" si="66"/>
        <v/>
      </c>
      <c r="BM32" s="159" t="str">
        <f t="shared" si="67"/>
        <v/>
      </c>
      <c r="BN32" s="159" t="str">
        <f t="shared" si="68"/>
        <v/>
      </c>
      <c r="BO32" s="159" t="str">
        <f t="shared" si="69"/>
        <v/>
      </c>
      <c r="BP32" s="159" t="str">
        <f t="shared" si="70"/>
        <v/>
      </c>
      <c r="BQ32" s="159" t="str">
        <f t="shared" si="71"/>
        <v/>
      </c>
      <c r="BR32" s="159" t="str">
        <f t="shared" si="72"/>
        <v/>
      </c>
      <c r="BS32" s="159" t="str">
        <f t="shared" si="58"/>
        <v/>
      </c>
      <c r="BT32" s="159" t="str">
        <f t="shared" si="58"/>
        <v/>
      </c>
      <c r="BU32" s="159" t="str">
        <f t="shared" si="58"/>
        <v/>
      </c>
      <c r="BV32" s="159" t="str">
        <f t="shared" si="58"/>
        <v/>
      </c>
      <c r="BW32" s="159" t="str">
        <f t="shared" si="58"/>
        <v/>
      </c>
      <c r="BX32" s="159" t="str">
        <f t="shared" si="58"/>
        <v/>
      </c>
      <c r="BY32" s="159" t="str">
        <f t="shared" si="58"/>
        <v/>
      </c>
      <c r="BZ32" s="159" t="str">
        <f t="shared" si="58"/>
        <v/>
      </c>
      <c r="CA32" s="159" t="str">
        <f t="shared" si="58"/>
        <v/>
      </c>
      <c r="CB32" s="159" t="str">
        <f t="shared" si="58"/>
        <v/>
      </c>
      <c r="CC32" s="159" t="str">
        <f t="shared" si="58"/>
        <v/>
      </c>
      <c r="CD32" s="159" t="str">
        <f t="shared" si="58"/>
        <v/>
      </c>
      <c r="CE32" s="159" t="str">
        <f t="shared" si="58"/>
        <v/>
      </c>
      <c r="CF32" s="159" t="str">
        <f t="shared" si="58"/>
        <v/>
      </c>
      <c r="CG32" s="159" t="str">
        <f t="shared" si="58"/>
        <v/>
      </c>
      <c r="CH32" s="159" t="str">
        <f t="shared" si="58"/>
        <v/>
      </c>
      <c r="CI32" s="159" t="str">
        <f t="shared" si="59"/>
        <v/>
      </c>
      <c r="CJ32" s="159" t="str">
        <f t="shared" si="59"/>
        <v/>
      </c>
      <c r="CK32" s="160" t="str">
        <f t="shared" si="59"/>
        <v/>
      </c>
      <c r="CL32" s="241" t="str">
        <f t="shared" si="60"/>
        <v/>
      </c>
    </row>
    <row r="33" spans="6:90" ht="15.75" x14ac:dyDescent="0.25">
      <c r="F33" s="3"/>
      <c r="G33" s="294"/>
      <c r="H33" s="285"/>
      <c r="I33" s="371"/>
      <c r="J33" s="371"/>
      <c r="K33" s="371"/>
      <c r="L33" s="371"/>
      <c r="M33" s="371"/>
      <c r="N33" s="371"/>
      <c r="O33" s="371"/>
      <c r="P33" s="374" t="s">
        <v>24</v>
      </c>
      <c r="Q33" s="374"/>
      <c r="R33" s="374"/>
      <c r="S33" s="374"/>
      <c r="T33" s="151"/>
      <c r="U33" s="374" t="s">
        <v>25</v>
      </c>
      <c r="V33" s="374"/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119"/>
      <c r="AJ33" s="8"/>
      <c r="AK33" s="8"/>
      <c r="AL33" s="8"/>
      <c r="AM33" s="8"/>
      <c r="AN33" s="8"/>
      <c r="AO33" s="8"/>
      <c r="AP33" s="8"/>
      <c r="AQ33" s="8"/>
      <c r="AS33" s="68"/>
      <c r="AT33" s="12"/>
      <c r="AU33" s="12"/>
      <c r="AV33" s="12"/>
      <c r="AW33" s="6"/>
      <c r="AX33" s="3">
        <f t="shared" si="18"/>
        <v>0</v>
      </c>
      <c r="AY33" s="19" t="s">
        <v>130</v>
      </c>
      <c r="AZ33" s="9">
        <v>19</v>
      </c>
      <c r="BA33" s="17" t="str">
        <f t="shared" si="11"/>
        <v/>
      </c>
      <c r="BB33" s="87" t="s">
        <v>109</v>
      </c>
      <c r="BC33" s="20">
        <v>9</v>
      </c>
      <c r="BD33" s="158" t="str">
        <f t="shared" si="54"/>
        <v/>
      </c>
      <c r="BE33" s="159" t="str">
        <f t="shared" si="73"/>
        <v/>
      </c>
      <c r="BF33" s="159" t="str">
        <f t="shared" si="56"/>
        <v/>
      </c>
      <c r="BG33" s="159" t="str">
        <f t="shared" si="74"/>
        <v/>
      </c>
      <c r="BH33" s="159" t="str">
        <f t="shared" si="62"/>
        <v/>
      </c>
      <c r="BI33" s="159" t="str">
        <f t="shared" si="63"/>
        <v/>
      </c>
      <c r="BJ33" s="159" t="str">
        <f t="shared" si="64"/>
        <v/>
      </c>
      <c r="BK33" s="159" t="str">
        <f t="shared" si="65"/>
        <v/>
      </c>
      <c r="BL33" s="159" t="str">
        <f t="shared" si="66"/>
        <v/>
      </c>
      <c r="BM33" s="159" t="str">
        <f t="shared" si="67"/>
        <v/>
      </c>
      <c r="BN33" s="159" t="str">
        <f t="shared" si="68"/>
        <v/>
      </c>
      <c r="BO33" s="159" t="str">
        <f t="shared" si="69"/>
        <v/>
      </c>
      <c r="BP33" s="159" t="str">
        <f t="shared" si="70"/>
        <v/>
      </c>
      <c r="BQ33" s="159" t="str">
        <f t="shared" si="71"/>
        <v/>
      </c>
      <c r="BR33" s="159" t="str">
        <f t="shared" si="72"/>
        <v/>
      </c>
      <c r="BS33" s="159" t="str">
        <f t="shared" si="58"/>
        <v/>
      </c>
      <c r="BT33" s="159" t="str">
        <f t="shared" si="58"/>
        <v/>
      </c>
      <c r="BU33" s="159" t="str">
        <f t="shared" si="58"/>
        <v/>
      </c>
      <c r="BV33" s="159" t="str">
        <f t="shared" si="58"/>
        <v/>
      </c>
      <c r="BW33" s="159" t="str">
        <f t="shared" si="58"/>
        <v/>
      </c>
      <c r="BX33" s="159" t="str">
        <f t="shared" si="58"/>
        <v/>
      </c>
      <c r="BY33" s="159" t="str">
        <f t="shared" si="58"/>
        <v/>
      </c>
      <c r="BZ33" s="159" t="str">
        <f t="shared" si="58"/>
        <v/>
      </c>
      <c r="CA33" s="159" t="str">
        <f t="shared" si="58"/>
        <v/>
      </c>
      <c r="CB33" s="159" t="str">
        <f t="shared" si="58"/>
        <v/>
      </c>
      <c r="CC33" s="159" t="str">
        <f t="shared" si="58"/>
        <v/>
      </c>
      <c r="CD33" s="159" t="str">
        <f t="shared" si="58"/>
        <v/>
      </c>
      <c r="CE33" s="159" t="str">
        <f t="shared" si="58"/>
        <v/>
      </c>
      <c r="CF33" s="159" t="str">
        <f t="shared" si="58"/>
        <v/>
      </c>
      <c r="CG33" s="159" t="str">
        <f t="shared" si="58"/>
        <v/>
      </c>
      <c r="CH33" s="159" t="str">
        <f t="shared" si="58"/>
        <v/>
      </c>
      <c r="CI33" s="159" t="str">
        <f t="shared" ref="CI33:CK34" si="76">IF(AO60="","",AO60)</f>
        <v/>
      </c>
      <c r="CJ33" s="159" t="str">
        <f t="shared" si="76"/>
        <v/>
      </c>
      <c r="CK33" s="160" t="str">
        <f t="shared" si="76"/>
        <v/>
      </c>
      <c r="CL33" s="241" t="str">
        <f t="shared" si="60"/>
        <v/>
      </c>
    </row>
    <row r="34" spans="6:90" ht="38.25" x14ac:dyDescent="0.25">
      <c r="F34" s="3"/>
      <c r="G34" s="294"/>
      <c r="H34" s="295"/>
      <c r="I34" s="372"/>
      <c r="J34" s="372"/>
      <c r="K34" s="372"/>
      <c r="L34" s="372"/>
      <c r="M34" s="372"/>
      <c r="N34" s="372"/>
      <c r="O34" s="372"/>
      <c r="P34" s="152" t="s">
        <v>7</v>
      </c>
      <c r="Q34" s="152" t="s">
        <v>8</v>
      </c>
      <c r="R34" s="152" t="s">
        <v>10</v>
      </c>
      <c r="S34" s="152" t="s">
        <v>9</v>
      </c>
      <c r="T34" s="152" t="s">
        <v>219</v>
      </c>
      <c r="U34" s="152"/>
      <c r="V34" s="152" t="s">
        <v>9</v>
      </c>
      <c r="W34" s="152" t="s">
        <v>12</v>
      </c>
      <c r="X34" s="152" t="s">
        <v>13</v>
      </c>
      <c r="Y34" s="152" t="s">
        <v>14</v>
      </c>
      <c r="Z34" s="152" t="s">
        <v>15</v>
      </c>
      <c r="AA34" s="152" t="s">
        <v>16</v>
      </c>
      <c r="AB34" s="152" t="s">
        <v>17</v>
      </c>
      <c r="AC34" s="152" t="s">
        <v>18</v>
      </c>
      <c r="AD34" s="152" t="s">
        <v>19</v>
      </c>
      <c r="AE34" s="152" t="s">
        <v>21</v>
      </c>
      <c r="AF34" s="152" t="s">
        <v>8</v>
      </c>
      <c r="AG34" s="152" t="s">
        <v>222</v>
      </c>
      <c r="AH34" s="152" t="s">
        <v>22</v>
      </c>
      <c r="AI34" s="152" t="s">
        <v>23</v>
      </c>
      <c r="AJ34" s="154" t="s">
        <v>11</v>
      </c>
      <c r="AK34" s="155" t="s">
        <v>217</v>
      </c>
      <c r="AL34" s="155" t="s">
        <v>259</v>
      </c>
      <c r="AM34" s="137"/>
      <c r="AN34" s="137"/>
      <c r="AO34" s="138" t="s">
        <v>155</v>
      </c>
      <c r="AP34" s="184"/>
      <c r="AQ34" s="137" t="s">
        <v>209</v>
      </c>
      <c r="AS34" s="71"/>
      <c r="AT34" s="22"/>
      <c r="AU34" s="22"/>
      <c r="AV34" s="12"/>
      <c r="AW34" s="6"/>
      <c r="AX34" s="3">
        <f t="shared" si="18"/>
        <v>0</v>
      </c>
      <c r="AY34" s="19" t="s">
        <v>131</v>
      </c>
      <c r="AZ34" s="9">
        <v>20</v>
      </c>
      <c r="BA34" s="17" t="str">
        <f t="shared" si="11"/>
        <v/>
      </c>
      <c r="BB34" s="87" t="s">
        <v>109</v>
      </c>
      <c r="BC34" s="20">
        <v>10</v>
      </c>
      <c r="BD34" s="242" t="str">
        <f t="shared" si="54"/>
        <v/>
      </c>
      <c r="BE34" s="243" t="str">
        <f t="shared" si="73"/>
        <v/>
      </c>
      <c r="BF34" s="243" t="str">
        <f t="shared" si="56"/>
        <v/>
      </c>
      <c r="BG34" s="243" t="str">
        <f t="shared" si="74"/>
        <v/>
      </c>
      <c r="BH34" s="243" t="str">
        <f t="shared" si="62"/>
        <v/>
      </c>
      <c r="BI34" s="243" t="str">
        <f t="shared" si="63"/>
        <v/>
      </c>
      <c r="BJ34" s="243" t="str">
        <f t="shared" si="64"/>
        <v/>
      </c>
      <c r="BK34" s="243" t="str">
        <f t="shared" si="65"/>
        <v/>
      </c>
      <c r="BL34" s="243" t="str">
        <f t="shared" si="66"/>
        <v/>
      </c>
      <c r="BM34" s="243" t="str">
        <f t="shared" si="67"/>
        <v/>
      </c>
      <c r="BN34" s="243" t="str">
        <f t="shared" si="68"/>
        <v/>
      </c>
      <c r="BO34" s="243" t="str">
        <f t="shared" si="69"/>
        <v/>
      </c>
      <c r="BP34" s="243" t="str">
        <f t="shared" si="70"/>
        <v/>
      </c>
      <c r="BQ34" s="243" t="str">
        <f t="shared" si="71"/>
        <v/>
      </c>
      <c r="BR34" s="243" t="str">
        <f t="shared" si="72"/>
        <v/>
      </c>
      <c r="BS34" s="243" t="str">
        <f t="shared" si="58"/>
        <v/>
      </c>
      <c r="BT34" s="243" t="str">
        <f t="shared" si="58"/>
        <v/>
      </c>
      <c r="BU34" s="243" t="str">
        <f t="shared" si="58"/>
        <v/>
      </c>
      <c r="BV34" s="243" t="str">
        <f t="shared" si="58"/>
        <v/>
      </c>
      <c r="BW34" s="243" t="str">
        <f t="shared" si="58"/>
        <v/>
      </c>
      <c r="BX34" s="243" t="str">
        <f t="shared" si="58"/>
        <v/>
      </c>
      <c r="BY34" s="243" t="str">
        <f t="shared" si="58"/>
        <v/>
      </c>
      <c r="BZ34" s="243" t="str">
        <f t="shared" si="58"/>
        <v/>
      </c>
      <c r="CA34" s="243" t="str">
        <f t="shared" si="58"/>
        <v/>
      </c>
      <c r="CB34" s="243" t="str">
        <f t="shared" si="58"/>
        <v/>
      </c>
      <c r="CC34" s="243" t="str">
        <f t="shared" si="58"/>
        <v/>
      </c>
      <c r="CD34" s="243" t="str">
        <f t="shared" si="58"/>
        <v/>
      </c>
      <c r="CE34" s="243" t="str">
        <f t="shared" si="58"/>
        <v/>
      </c>
      <c r="CF34" s="243" t="str">
        <f t="shared" si="58"/>
        <v/>
      </c>
      <c r="CG34" s="243" t="str">
        <f t="shared" si="58"/>
        <v/>
      </c>
      <c r="CH34" s="243" t="str">
        <f t="shared" si="58"/>
        <v/>
      </c>
      <c r="CI34" s="243" t="str">
        <f t="shared" si="76"/>
        <v/>
      </c>
      <c r="CJ34" s="243" t="str">
        <f t="shared" si="76"/>
        <v/>
      </c>
      <c r="CK34" s="244" t="str">
        <f t="shared" si="76"/>
        <v/>
      </c>
      <c r="CL34" s="245" t="str">
        <f t="shared" si="60"/>
        <v/>
      </c>
    </row>
    <row r="35" spans="6:90" ht="20.25" x14ac:dyDescent="0.25">
      <c r="F35" s="3">
        <v>1</v>
      </c>
      <c r="G35" s="64" t="str">
        <f t="array" ref="G35:H36">_xll.PICompDat(Data_mbcb!$H$31,Data_mbcb!$G$4,Data_mbcb!$G$5,9,"pi_server","inside")</f>
        <v>No more values:</v>
      </c>
      <c r="H35" s="65" t="str">
        <v>No more values:</v>
      </c>
      <c r="I35" s="157" t="str">
        <f>IF(OR($G35="",$G35=" ",ISTEXT($G35)),"",_xll.PITimeDat(Data_mbcb!I$31,Data_mbcb!$G35,"pi_server","interpolated"))</f>
        <v/>
      </c>
      <c r="J35" s="157" t="str">
        <f>IF(OR($G35="",$G35=" ",ISTEXT($G35)),"",_xll.PITimeDat(Data_mbcb!J$31,Data_mbcb!$G35,"pi_server","interpolated"))</f>
        <v/>
      </c>
      <c r="K35" s="157" t="str">
        <f>IF(OR($G35="",$G35=" ",ISTEXT($G35)),"",_xll.PITimeDat(Data_mbcb!K$31,Data_mbcb!$G35,"pi_server","interpolated"))</f>
        <v/>
      </c>
      <c r="L35" s="157" t="str">
        <f>IFERROR(J35-K35,"")</f>
        <v/>
      </c>
      <c r="M35" s="157" t="str">
        <f>IF(OR($G35="",$G35=" ",ISTEXT($G35)),"",_xll.PITimeDat(Data_mbcb!M$31,Data_mbcb!$G35,"pi_server","interpolated"))</f>
        <v/>
      </c>
      <c r="N35" s="157" t="str">
        <f>IF(OR($G35="",$G35=" ",ISTEXT($G35)),"",_xll.PITimeDat(Data_mbcb!N$31,Data_mbcb!$G35,"pi_server","interpolated"))</f>
        <v/>
      </c>
      <c r="O35" s="157" t="str">
        <f>IFERROR(M35-N35,"")</f>
        <v/>
      </c>
      <c r="P35" s="157" t="str">
        <f>IF(OR($G35="",$G35=" ",ISTEXT($G35)),"",_xll.PITimeDat(Data_mbcb!P$31,Data_mbcb!$G35,"pi_server","interpolated"))</f>
        <v/>
      </c>
      <c r="Q35" s="157" t="str">
        <f>IF(OR($G35="",$G35=" ",ISTEXT($G35)),"",_xll.PITimeDat(Data_mbcb!Q$31,Data_mbcb!$G35,"pi_server","interpolated"))</f>
        <v/>
      </c>
      <c r="R35" s="157" t="str">
        <f>IF(OR($G35="",$G35=" ",ISTEXT($G35)),"",_xll.PITimeDat(Data_mbcb!R$31,Data_mbcb!$G35,"pi_server","interpolated"))</f>
        <v/>
      </c>
      <c r="S35" s="157" t="str">
        <f>IF(OR($G35="",$G35=" ",ISTEXT($G35)),"",_xll.PITimeDat(Data_mbcb!S$31,Data_mbcb!$G35,"pi_server","interpolated"))</f>
        <v/>
      </c>
      <c r="T35" s="157" t="str">
        <f>IF(OR($G35="",$G35=" ",ISTEXT($G35)),"",_xll.PITimeDat(Data_mbcb!T$31,Data_mbcb!$G35,"pi_server","interpolated"))</f>
        <v/>
      </c>
      <c r="U35" s="163" t="str">
        <f>IF(ISTEXT(_xll.PIArcVal(Data!T$32,Data!$G35,0,"PI_SERVER","interpolated")),"",_xll.PIArcVal(Data!T$32,Data!$G35,0,"PI_SERVER","interpolated"))</f>
        <v/>
      </c>
      <c r="V35" s="157" t="str">
        <f>IF(OR($G35="",$G35=" ",ISTEXT($G35)),"",_xll.PITimeDat(Data_mbcb!V$31,Data_mbcb!$G35,"pi_server","interpolated"))</f>
        <v/>
      </c>
      <c r="W35" s="157" t="str">
        <f>IF(OR($G35="",$G35=" ",ISTEXT($G35)),"",_xll.PITimeDat(Data_mbcb!W$31,Data_mbcb!$G35,"pi_server","interpolated"))</f>
        <v/>
      </c>
      <c r="X35" s="157" t="str">
        <f>IF(OR($G35="",$G35=" ",ISTEXT($G35)),"",_xll.PITimeDat(Data_mbcb!X$31,Data_mbcb!$G35,"pi_server","interpolated"))</f>
        <v/>
      </c>
      <c r="Y35" s="157" t="str">
        <f>IF(OR($G35="",$G35=" ",ISTEXT($G35)),"",_xll.PITimeDat(Data_mbcb!Y$31,Data_mbcb!$G35,"pi_server","interpolated"))</f>
        <v/>
      </c>
      <c r="Z35" s="157" t="str">
        <f>IF(OR($G35="",$G35=" ",ISTEXT($G35)),"",_xll.PITimeDat(Data_mbcb!Z$31,Data_mbcb!$G35,"pi_server","interpolated"))</f>
        <v/>
      </c>
      <c r="AA35" s="157" t="str">
        <f>IF(OR($G35="",$G35=" ",ISTEXT($G35)),"",_xll.PITimeDat(Data_mbcb!AA$31,Data_mbcb!$G35,"pi_server","interpolated"))</f>
        <v/>
      </c>
      <c r="AB35" s="157" t="str">
        <f>IF(OR($G35="",$G35=" ",ISTEXT($G35)),"",_xll.PITimeDat(Data_mbcb!AB$31,Data_mbcb!$G35,"pi_server","interpolated"))</f>
        <v/>
      </c>
      <c r="AC35" s="157" t="str">
        <f>IF(OR($G35="",$G35=" ",ISTEXT($G35)),"",_xll.PITimeDat(Data_mbcb!AC$31,Data_mbcb!$G35,"pi_server","interpolated"))</f>
        <v/>
      </c>
      <c r="AD35" s="157" t="str">
        <f>IF(OR($G35="",$G35=" ",ISTEXT($G35)),"",_xll.PITimeDat(Data_mbcb!AD$31,Data_mbcb!$G35,"pi_server","interpolated"))</f>
        <v/>
      </c>
      <c r="AE35" s="157" t="str">
        <f>IF(OR($G35="",$G35=" ",ISTEXT($G35)),"",_xll.PITimeDat(Data_mbcb!AE$31,Data_mbcb!$G35,"pi_server","interpolated"))</f>
        <v/>
      </c>
      <c r="AF35" s="157" t="str">
        <f>IF(OR($G35="",$G35=" ",ISTEXT($G35)),"",_xll.PITimeDat(Data_mbcb!AF$31,Data_mbcb!$G35,"pi_server","interpolated"))</f>
        <v/>
      </c>
      <c r="AG35" s="157" t="str">
        <f>IF(OR($G35="",$G35=" ",ISTEXT($G35)),"",_xll.PITimeDat(Data_mbcb!AG$31,Data_mbcb!$G35,"pi_server","interpolated"))</f>
        <v/>
      </c>
      <c r="AH35" s="157" t="str">
        <f>IF(OR($G35="",$G35=" ",ISTEXT($G35)),"",_xll.PITimeDat(Data_mbcb!AH$31,Data_mbcb!$G35,"pi_server","interpolated"))</f>
        <v/>
      </c>
      <c r="AI35" s="157" t="str">
        <f>IF(OR($G35="",$G35=" ",ISTEXT($G35)),"",_xll.PITimeDat(Data_mbcb!AI$31,Data_mbcb!$G35,"pi_server","interpolated"))</f>
        <v/>
      </c>
      <c r="AJ35" s="157" t="str">
        <f>IF(OR($G35="",$G35=" ",ISTEXT($G35)),"",_xll.PITimeDat(Data_mbcb!AJ$31,Data_mbcb!$G35,"pi_server","interpolated"))</f>
        <v/>
      </c>
      <c r="AK35" s="157" t="str">
        <f>IF(OR($G35="",$G35=" ",ISTEXT($G35)),"",_xll.PITimeDat(Data_mbcb!AK$31,Data_mbcb!$G35,"pi_server","interpolated"))</f>
        <v/>
      </c>
      <c r="AL35" s="157" t="str">
        <f>IF(OR($G35="",$G35=" ",ISTEXT($G35)),"",_xll.PITimeDat(Data_mbcb!AL$31,Data_mbcb!$G35,"pi_server","interpolated"))</f>
        <v/>
      </c>
      <c r="AM35" s="163" t="str">
        <f>IF(ISTEXT(_xll.PIArcVal(Data!AK$32,Data!$G35,0,"PI_SERVER","interpolated")),"",_xll.PIArcVal(Data!AK$32,Data!$G35,0,"PI_SERVER","interpolated"))</f>
        <v/>
      </c>
      <c r="AN35" s="157" t="str">
        <f>IF(OR($G35="",$G35=" ",ISTEXT($G35)),"",_xll.PITimeDat(Data_mbcb!AN$31,Data_mbcb!$G35,"pi_server","interpolated"))</f>
        <v/>
      </c>
      <c r="AO35" s="157" t="str">
        <f>IF(OR($G35="",$G35=" ",ISTEXT($G35)),"",_xll.PITimeDat(Data_mbcb!AO$31,Data_mbcb!$G35,"pi_server","interpolated"))</f>
        <v/>
      </c>
      <c r="AP35" s="157" t="str">
        <f>IF(OR($G35="",$G35=" ",ISTEXT($G35)),"",_xll.PITimeDat(Data_mbcb!AP$31,Data_mbcb!$G35,"pi_server","interpolated"))</f>
        <v/>
      </c>
      <c r="AQ35" s="157" t="str">
        <f>IF(OR($G35="",$G35=" ",ISTEXT($G35)),"",_xll.PITimeDat(Data_mbcb!AQ$31,Data_mbcb!$G35,"pi_server","interpolated"))</f>
        <v/>
      </c>
      <c r="AR35" s="157" t="str">
        <f>IF(OR($G35="",$G35=" ",ISTEXT($G35)),"",_xll.PITimeDat(Data_mbcb!AR$31,Data_mbcb!$G35,"pi_server","interpolated"))</f>
        <v/>
      </c>
      <c r="AS35" s="68"/>
      <c r="AT35" s="12"/>
      <c r="AU35" s="12"/>
      <c r="AV35" s="21"/>
      <c r="AW35" s="6"/>
      <c r="AX35" s="3">
        <f t="shared" si="18"/>
        <v>0</v>
      </c>
      <c r="AY35" s="19" t="s">
        <v>132</v>
      </c>
      <c r="AZ35" s="9">
        <v>21</v>
      </c>
      <c r="BA35" s="17" t="str">
        <f t="shared" si="11"/>
        <v/>
      </c>
      <c r="BB35" s="89" t="s">
        <v>110</v>
      </c>
      <c r="BC35" s="20">
        <v>1</v>
      </c>
      <c r="BD35" s="236" t="str">
        <f t="shared" ref="BD35:BQ35" si="77">IF(G69="","",G69)</f>
        <v>No more values:</v>
      </c>
      <c r="BE35" s="237" t="str">
        <f t="shared" si="77"/>
        <v>No more values:</v>
      </c>
      <c r="BF35" s="237" t="str">
        <f t="shared" si="77"/>
        <v/>
      </c>
      <c r="BG35" s="237" t="str">
        <f t="shared" si="77"/>
        <v/>
      </c>
      <c r="BH35" s="237" t="str">
        <f t="shared" si="77"/>
        <v/>
      </c>
      <c r="BI35" s="237" t="str">
        <f t="shared" si="77"/>
        <v/>
      </c>
      <c r="BJ35" s="237" t="str">
        <f t="shared" si="77"/>
        <v/>
      </c>
      <c r="BK35" s="237" t="str">
        <f t="shared" si="77"/>
        <v/>
      </c>
      <c r="BL35" s="237" t="str">
        <f t="shared" si="77"/>
        <v/>
      </c>
      <c r="BM35" s="237" t="str">
        <f t="shared" si="77"/>
        <v/>
      </c>
      <c r="BN35" s="237" t="str">
        <f t="shared" si="77"/>
        <v/>
      </c>
      <c r="BO35" s="237" t="str">
        <f t="shared" si="77"/>
        <v/>
      </c>
      <c r="BP35" s="237" t="str">
        <f t="shared" si="77"/>
        <v/>
      </c>
      <c r="BQ35" s="237" t="str">
        <f t="shared" si="77"/>
        <v/>
      </c>
      <c r="BR35" s="237" t="str">
        <f>IF(V69="","",V69)</f>
        <v/>
      </c>
      <c r="BS35" s="237" t="str">
        <f t="shared" ref="BS35:CG44" si="78">IF(W69="","",W69)</f>
        <v/>
      </c>
      <c r="BT35" s="237" t="str">
        <f t="shared" si="78"/>
        <v/>
      </c>
      <c r="BU35" s="237" t="str">
        <f t="shared" si="78"/>
        <v/>
      </c>
      <c r="BV35" s="237" t="str">
        <f t="shared" si="78"/>
        <v/>
      </c>
      <c r="BW35" s="237" t="str">
        <f t="shared" si="78"/>
        <v/>
      </c>
      <c r="BX35" s="237" t="str">
        <f t="shared" si="78"/>
        <v/>
      </c>
      <c r="BY35" s="237" t="str">
        <f t="shared" si="78"/>
        <v/>
      </c>
      <c r="BZ35" s="237" t="str">
        <f t="shared" si="78"/>
        <v/>
      </c>
      <c r="CA35" s="237" t="str">
        <f t="shared" si="78"/>
        <v/>
      </c>
      <c r="CB35" s="237" t="str">
        <f t="shared" si="78"/>
        <v/>
      </c>
      <c r="CC35" s="237" t="str">
        <f t="shared" si="78"/>
        <v/>
      </c>
      <c r="CD35" s="237" t="str">
        <f t="shared" si="78"/>
        <v/>
      </c>
      <c r="CE35" s="237" t="str">
        <f t="shared" si="78"/>
        <v/>
      </c>
      <c r="CF35" s="237" t="str">
        <f t="shared" si="78"/>
        <v/>
      </c>
      <c r="CG35" s="237" t="str">
        <f t="shared" si="78"/>
        <v/>
      </c>
      <c r="CH35" s="237"/>
      <c r="CI35" s="251" t="str">
        <f>IF(AO69="","",AO69)</f>
        <v/>
      </c>
      <c r="CJ35" s="251" t="str">
        <f>IF(AP69="","",AP69)</f>
        <v/>
      </c>
      <c r="CK35" s="239" t="str">
        <f>IF(AQ69="","",AQ69)</f>
        <v/>
      </c>
      <c r="CL35" s="240" t="str">
        <f>IF(AR69="","",AR69)</f>
        <v/>
      </c>
    </row>
    <row r="36" spans="6:90" ht="20.25" x14ac:dyDescent="0.25">
      <c r="F36" s="3">
        <v>2</v>
      </c>
      <c r="G36" s="64" t="str">
        <v>No more values:</v>
      </c>
      <c r="H36" s="65" t="str">
        <v>No more values:</v>
      </c>
      <c r="I36" s="157" t="str">
        <f>IF(OR($G36="",$G36=" ",ISTEXT($G36)),"",_xll.PITimeDat(Data_mbcb!I$31,Data_mbcb!$G36,"pi_server","interpolated"))</f>
        <v/>
      </c>
      <c r="J36" s="157" t="str">
        <f>IF(OR($G36="",$G36=" ",ISTEXT($G36)),"",_xll.PITimeDat(Data_mbcb!J$31,Data_mbcb!$G36,"pi_server","interpolated"))</f>
        <v/>
      </c>
      <c r="K36" s="157" t="str">
        <f>IF(OR($G36="",$G36=" ",ISTEXT($G36)),"",_xll.PITimeDat(Data_mbcb!K$31,Data_mbcb!$G36,"pi_server","interpolated"))</f>
        <v/>
      </c>
      <c r="L36" s="157" t="str">
        <f t="shared" ref="L36:L44" si="79">IFERROR(J36-K36,"")</f>
        <v/>
      </c>
      <c r="M36" s="157" t="str">
        <f>IF(OR($G36="",$G36=" ",ISTEXT($G36)),"",_xll.PITimeDat(Data_mbcb!M$31,Data_mbcb!$G36,"pi_server","interpolated"))</f>
        <v/>
      </c>
      <c r="N36" s="157" t="str">
        <f>IF(OR($G36="",$G36=" ",ISTEXT($G36)),"",_xll.PITimeDat(Data_mbcb!N$31,Data_mbcb!$G36,"pi_server","interpolated"))</f>
        <v/>
      </c>
      <c r="O36" s="157" t="str">
        <f t="shared" ref="O36:O44" si="80">IFERROR(M36-N36,"")</f>
        <v/>
      </c>
      <c r="P36" s="157" t="str">
        <f>IF(OR($G36="",$G36=" ",ISTEXT($G36)),"",_xll.PITimeDat(Data_mbcb!P$31,Data_mbcb!$G36,"pi_server","interpolated"))</f>
        <v/>
      </c>
      <c r="Q36" s="157" t="str">
        <f>IF(OR($G36="",$G36=" ",ISTEXT($G36)),"",_xll.PITimeDat(Data_mbcb!Q$31,Data_mbcb!$G36,"pi_server","interpolated"))</f>
        <v/>
      </c>
      <c r="R36" s="157" t="str">
        <f>IF(OR($G36="",$G36=" ",ISTEXT($G36)),"",_xll.PITimeDat(Data_mbcb!R$31,Data_mbcb!$G36,"pi_server","interpolated"))</f>
        <v/>
      </c>
      <c r="S36" s="157" t="str">
        <f>IF(OR($G36="",$G36=" ",ISTEXT($G36)),"",_xll.PITimeDat(Data_mbcb!S$31,Data_mbcb!$G36,"pi_server","interpolated"))</f>
        <v/>
      </c>
      <c r="T36" s="157" t="str">
        <f>IF(OR($G36="",$G36=" ",ISTEXT($G36)),"",_xll.PITimeDat(Data_mbcb!T$31,Data_mbcb!$G36,"pi_server","interpolated"))</f>
        <v/>
      </c>
      <c r="U36" s="157"/>
      <c r="V36" s="157" t="str">
        <f>IF(OR($G36="",$G36=" ",ISTEXT($G36)),"",_xll.PITimeDat(Data_mbcb!V$31,Data_mbcb!$G36,"pi_server","interpolated"))</f>
        <v/>
      </c>
      <c r="W36" s="157" t="str">
        <f>IF(OR($G36="",$G36=" ",ISTEXT($G36)),"",_xll.PITimeDat(Data_mbcb!W$31,Data_mbcb!$G36,"pi_server","interpolated"))</f>
        <v/>
      </c>
      <c r="X36" s="157" t="str">
        <f>IF(OR($G36="",$G36=" ",ISTEXT($G36)),"",_xll.PITimeDat(Data_mbcb!X$31,Data_mbcb!$G36,"pi_server","interpolated"))</f>
        <v/>
      </c>
      <c r="Y36" s="157" t="str">
        <f>IF(OR($G36="",$G36=" ",ISTEXT($G36)),"",_xll.PITimeDat(Data_mbcb!Y$31,Data_mbcb!$G36,"pi_server","interpolated"))</f>
        <v/>
      </c>
      <c r="Z36" s="157" t="str">
        <f>IF(OR($G36="",$G36=" ",ISTEXT($G36)),"",_xll.PITimeDat(Data_mbcb!Z$31,Data_mbcb!$G36,"pi_server","interpolated"))</f>
        <v/>
      </c>
      <c r="AA36" s="157" t="str">
        <f>IF(OR($G36="",$G36=" ",ISTEXT($G36)),"",_xll.PITimeDat(Data_mbcb!AA$31,Data_mbcb!$G36,"pi_server","interpolated"))</f>
        <v/>
      </c>
      <c r="AB36" s="157" t="str">
        <f>IF(OR($G36="",$G36=" ",ISTEXT($G36)),"",_xll.PITimeDat(Data_mbcb!AB$31,Data_mbcb!$G36,"pi_server","interpolated"))</f>
        <v/>
      </c>
      <c r="AC36" s="157" t="str">
        <f>IF(OR($G36="",$G36=" ",ISTEXT($G36)),"",_xll.PITimeDat(Data_mbcb!AC$31,Data_mbcb!$G36,"pi_server","interpolated"))</f>
        <v/>
      </c>
      <c r="AD36" s="157" t="str">
        <f>IF(OR($G36="",$G36=" ",ISTEXT($G36)),"",_xll.PITimeDat(Data_mbcb!AD$31,Data_mbcb!$G36,"pi_server","interpolated"))</f>
        <v/>
      </c>
      <c r="AE36" s="157" t="str">
        <f>IF(OR($G36="",$G36=" ",ISTEXT($G36)),"",_xll.PITimeDat(Data_mbcb!AE$31,Data_mbcb!$G36,"pi_server","interpolated"))</f>
        <v/>
      </c>
      <c r="AF36" s="157" t="str">
        <f>IF(OR($G36="",$G36=" ",ISTEXT($G36)),"",_xll.PITimeDat(Data_mbcb!AF$31,Data_mbcb!$G36,"pi_server","interpolated"))</f>
        <v/>
      </c>
      <c r="AG36" s="157" t="str">
        <f>IF(OR($G36="",$G36=" ",ISTEXT($G36)),"",_xll.PITimeDat(Data_mbcb!AG$31,Data_mbcb!$G36,"pi_server","interpolated"))</f>
        <v/>
      </c>
      <c r="AH36" s="157" t="str">
        <f>IF(OR($G36="",$G36=" ",ISTEXT($G36)),"",_xll.PITimeDat(Data_mbcb!AH$31,Data_mbcb!$G36,"pi_server","interpolated"))</f>
        <v/>
      </c>
      <c r="AI36" s="157" t="str">
        <f>IF(OR($G36="",$G36=" ",ISTEXT($G36)),"",_xll.PITimeDat(Data_mbcb!AI$31,Data_mbcb!$G36,"pi_server","interpolated"))</f>
        <v/>
      </c>
      <c r="AJ36" s="157" t="str">
        <f>IF(OR($G36="",$G36=" ",ISTEXT($G36)),"",_xll.PITimeDat(Data_mbcb!AJ$31,Data_mbcb!$G36,"pi_server","interpolated"))</f>
        <v/>
      </c>
      <c r="AK36" s="157" t="str">
        <f>IF(OR($G36="",$G36=" ",ISTEXT($G36)),"",_xll.PITimeDat(Data_mbcb!AK$31,Data_mbcb!$G36,"pi_server","interpolated"))</f>
        <v/>
      </c>
      <c r="AL36" s="157" t="str">
        <f>IF(OR($G36="",$G36=" ",ISTEXT($G36)),"",_xll.PITimeDat(Data_mbcb!AL$31,Data_mbcb!$G36,"pi_server","interpolated"))</f>
        <v/>
      </c>
      <c r="AM36" s="157"/>
      <c r="AN36" s="157" t="str">
        <f>IF(OR($G36="",$G36=" ",ISTEXT($G36)),"",_xll.PITimeDat(Data_mbcb!AN$31,Data_mbcb!$G36,"pi_server","interpolated"))</f>
        <v/>
      </c>
      <c r="AO36" s="157" t="str">
        <f>IF(OR($G36="",$G36=" ",ISTEXT($G36)),"",_xll.PITimeDat(Data_mbcb!AO$31,Data_mbcb!$G36,"pi_server","interpolated"))</f>
        <v/>
      </c>
      <c r="AP36" s="157" t="str">
        <f>IF(OR($G36="",$G36=" ",ISTEXT($G36)),"",_xll.PITimeDat(Data_mbcb!AP$31,Data_mbcb!$G36,"pi_server","interpolated"))</f>
        <v/>
      </c>
      <c r="AQ36" s="157" t="str">
        <f>IF(OR($G36="",$G36=" ",ISTEXT($G36)),"",_xll.PITimeDat(Data_mbcb!AQ$31,Data_mbcb!$G36,"pi_server","interpolated"))</f>
        <v/>
      </c>
      <c r="AR36" s="157" t="str">
        <f>IF(OR($G36="",$G36=" ",ISTEXT($G36)),"",_xll.PITimeDat(Data_mbcb!AR$31,Data_mbcb!$G36,"pi_server","interpolated"))</f>
        <v/>
      </c>
      <c r="AS36" s="69">
        <f>IF(OR(L36=" ",L36="",ISTEXT(L36)), 0,1)</f>
        <v>0</v>
      </c>
      <c r="AT36" s="18"/>
      <c r="AU36" s="18"/>
      <c r="AV36" s="12"/>
      <c r="AW36" s="6"/>
      <c r="AX36" s="3">
        <f t="shared" si="18"/>
        <v>0</v>
      </c>
      <c r="AY36" s="19" t="s">
        <v>133</v>
      </c>
      <c r="AZ36" s="9">
        <v>22</v>
      </c>
      <c r="BA36" s="17" t="str">
        <f t="shared" si="11"/>
        <v/>
      </c>
      <c r="BB36" s="89" t="s">
        <v>110</v>
      </c>
      <c r="BC36" s="20">
        <v>2</v>
      </c>
      <c r="BD36" s="158" t="str">
        <f t="shared" ref="BD36:BD44" si="81">IF(G70="","",G70)</f>
        <v/>
      </c>
      <c r="BE36" s="159" t="str">
        <f t="shared" ref="BE36:BE44" si="82">IF(H70="","",H70)</f>
        <v/>
      </c>
      <c r="BF36" s="159" t="str">
        <f t="shared" ref="BF36:BF44" si="83">IF(I70="","",I70)</f>
        <v/>
      </c>
      <c r="BG36" s="159" t="str">
        <f t="shared" ref="BG36:BQ36" si="84">IF(J70="","",J70)</f>
        <v/>
      </c>
      <c r="BH36" s="159" t="str">
        <f t="shared" si="84"/>
        <v/>
      </c>
      <c r="BI36" s="159" t="str">
        <f t="shared" si="84"/>
        <v/>
      </c>
      <c r="BJ36" s="159" t="str">
        <f t="shared" si="84"/>
        <v/>
      </c>
      <c r="BK36" s="159" t="str">
        <f t="shared" si="84"/>
        <v/>
      </c>
      <c r="BL36" s="159" t="str">
        <f t="shared" si="84"/>
        <v/>
      </c>
      <c r="BM36" s="159" t="str">
        <f t="shared" si="84"/>
        <v/>
      </c>
      <c r="BN36" s="159" t="str">
        <f t="shared" si="84"/>
        <v/>
      </c>
      <c r="BO36" s="159" t="str">
        <f t="shared" si="84"/>
        <v/>
      </c>
      <c r="BP36" s="159" t="str">
        <f t="shared" si="84"/>
        <v/>
      </c>
      <c r="BQ36" s="159" t="str">
        <f t="shared" si="84"/>
        <v/>
      </c>
      <c r="BR36" s="159" t="str">
        <f t="shared" ref="BR36:BR44" si="85">IF(V70="","",V70)</f>
        <v/>
      </c>
      <c r="BS36" s="159" t="str">
        <f t="shared" si="78"/>
        <v/>
      </c>
      <c r="BT36" s="159" t="str">
        <f t="shared" si="78"/>
        <v/>
      </c>
      <c r="BU36" s="159" t="str">
        <f t="shared" si="78"/>
        <v/>
      </c>
      <c r="BV36" s="159" t="str">
        <f t="shared" si="78"/>
        <v/>
      </c>
      <c r="BW36" s="159" t="str">
        <f t="shared" si="78"/>
        <v/>
      </c>
      <c r="BX36" s="159" t="str">
        <f t="shared" si="78"/>
        <v/>
      </c>
      <c r="BY36" s="159" t="str">
        <f t="shared" si="78"/>
        <v/>
      </c>
      <c r="BZ36" s="159" t="str">
        <f t="shared" si="78"/>
        <v/>
      </c>
      <c r="CA36" s="159" t="str">
        <f t="shared" si="78"/>
        <v/>
      </c>
      <c r="CB36" s="159" t="str">
        <f t="shared" si="78"/>
        <v/>
      </c>
      <c r="CC36" s="159" t="str">
        <f t="shared" si="78"/>
        <v/>
      </c>
      <c r="CD36" s="159" t="str">
        <f t="shared" si="78"/>
        <v/>
      </c>
      <c r="CE36" s="159" t="str">
        <f t="shared" si="78"/>
        <v/>
      </c>
      <c r="CF36" s="159" t="str">
        <f t="shared" si="78"/>
        <v/>
      </c>
      <c r="CG36" s="159" t="str">
        <f t="shared" si="78"/>
        <v/>
      </c>
      <c r="CH36" s="159"/>
      <c r="CI36" s="252" t="str">
        <f t="shared" ref="CI36:CI44" si="86">IF(AO70="","",AO70)</f>
        <v/>
      </c>
      <c r="CJ36" s="252" t="str">
        <f t="shared" ref="CJ36:CJ44" si="87">IF(AP70="","",AP70)</f>
        <v/>
      </c>
      <c r="CK36" s="160" t="str">
        <f>IF(AQ70="","",AQ70)</f>
        <v/>
      </c>
      <c r="CL36" s="241" t="str">
        <f t="shared" ref="CL36:CL44" si="88">IF(AR70="","",AR70)</f>
        <v/>
      </c>
    </row>
    <row r="37" spans="6:90" ht="20.25" x14ac:dyDescent="0.25">
      <c r="F37" s="3">
        <v>3</v>
      </c>
      <c r="G37" s="64"/>
      <c r="H37" s="65"/>
      <c r="I37" s="157" t="str">
        <f>IF(OR($G37="",$G37=" ",ISTEXT($G37)),"",_xll.PITimeDat(Data_mbcb!I$31,Data_mbcb!$G37,"pi_server","interpolated"))</f>
        <v/>
      </c>
      <c r="J37" s="157" t="str">
        <f>IF(OR($G37="",$G37=" ",ISTEXT($G37)),"",_xll.PITimeDat(Data_mbcb!J$31,Data_mbcb!$G37,"pi_server","interpolated"))</f>
        <v/>
      </c>
      <c r="K37" s="157" t="str">
        <f>IF(OR($G37="",$G37=" ",ISTEXT($G37)),"",_xll.PITimeDat(Data_mbcb!K$31,Data_mbcb!$G37,"pi_server","interpolated"))</f>
        <v/>
      </c>
      <c r="L37" s="157" t="str">
        <f t="shared" si="79"/>
        <v/>
      </c>
      <c r="M37" s="157" t="str">
        <f>IF(OR($G37="",$G37=" ",ISTEXT($G37)),"",_xll.PITimeDat(Data_mbcb!M$31,Data_mbcb!$G37,"pi_server","interpolated"))</f>
        <v/>
      </c>
      <c r="N37" s="157" t="str">
        <f>IF(OR($G37="",$G37=" ",ISTEXT($G37)),"",_xll.PITimeDat(Data_mbcb!N$31,Data_mbcb!$G37,"pi_server","interpolated"))</f>
        <v/>
      </c>
      <c r="O37" s="157" t="str">
        <f t="shared" si="80"/>
        <v/>
      </c>
      <c r="P37" s="157" t="str">
        <f>IF(OR($G37="",$G37=" ",ISTEXT($G37)),"",_xll.PITimeDat(Data_mbcb!P$31,Data_mbcb!$G37,"pi_server","interpolated"))</f>
        <v/>
      </c>
      <c r="Q37" s="157" t="str">
        <f>IF(OR($G37="",$G37=" ",ISTEXT($G37)),"",_xll.PITimeDat(Data_mbcb!Q$31,Data_mbcb!$G37,"pi_server","interpolated"))</f>
        <v/>
      </c>
      <c r="R37" s="157" t="str">
        <f>IF(OR($G37="",$G37=" ",ISTEXT($G37)),"",_xll.PITimeDat(Data_mbcb!R$31,Data_mbcb!$G37,"pi_server","interpolated"))</f>
        <v/>
      </c>
      <c r="S37" s="157" t="str">
        <f>IF(OR($G37="",$G37=" ",ISTEXT($G37)),"",_xll.PITimeDat(Data_mbcb!S$31,Data_mbcb!$G37,"pi_server","interpolated"))</f>
        <v/>
      </c>
      <c r="T37" s="157" t="str">
        <f>IF(OR($G37="",$G37=" ",ISTEXT($G37)),"",_xll.PITimeDat(Data_mbcb!T$31,Data_mbcb!$G37,"pi_server","interpolated"))</f>
        <v/>
      </c>
      <c r="U37" s="123" t="str">
        <f>IF(ISTEXT(_xll.PIArcVal(Data!T$32,Data!$G37,0,"PI_SERVER","interpolated")),"",_xll.PIArcVal(Data!T$32,Data!$G37,0,"PI_SERVER","interpolated"))</f>
        <v/>
      </c>
      <c r="V37" s="157" t="str">
        <f>IF(OR($G37="",$G37=" ",ISTEXT($G37)),"",_xll.PITimeDat(Data_mbcb!V$31,Data_mbcb!$G37,"pi_server","interpolated"))</f>
        <v/>
      </c>
      <c r="W37" s="157" t="str">
        <f>IF(OR($G37="",$G37=" ",ISTEXT($G37)),"",_xll.PITimeDat(Data_mbcb!W$31,Data_mbcb!$G37,"pi_server","interpolated"))</f>
        <v/>
      </c>
      <c r="X37" s="157" t="str">
        <f>IF(OR($G37="",$G37=" ",ISTEXT($G37)),"",_xll.PITimeDat(Data_mbcb!X$31,Data_mbcb!$G37,"pi_server","interpolated"))</f>
        <v/>
      </c>
      <c r="Y37" s="157" t="str">
        <f>IF(OR($G37="",$G37=" ",ISTEXT($G37)),"",_xll.PITimeDat(Data_mbcb!Y$31,Data_mbcb!$G37,"pi_server","interpolated"))</f>
        <v/>
      </c>
      <c r="Z37" s="157" t="str">
        <f>IF(OR($G37="",$G37=" ",ISTEXT($G37)),"",_xll.PITimeDat(Data_mbcb!Z$31,Data_mbcb!$G37,"pi_server","interpolated"))</f>
        <v/>
      </c>
      <c r="AA37" s="157" t="str">
        <f>IF(OR($G37="",$G37=" ",ISTEXT($G37)),"",_xll.PITimeDat(Data_mbcb!AA$31,Data_mbcb!$G37,"pi_server","interpolated"))</f>
        <v/>
      </c>
      <c r="AB37" s="157" t="str">
        <f>IF(OR($G37="",$G37=" ",ISTEXT($G37)),"",_xll.PITimeDat(Data_mbcb!AB$31,Data_mbcb!$G37,"pi_server","interpolated"))</f>
        <v/>
      </c>
      <c r="AC37" s="157" t="str">
        <f>IF(OR($G37="",$G37=" ",ISTEXT($G37)),"",_xll.PITimeDat(Data_mbcb!AC$31,Data_mbcb!$G37,"pi_server","interpolated"))</f>
        <v/>
      </c>
      <c r="AD37" s="157" t="str">
        <f>IF(OR($G37="",$G37=" ",ISTEXT($G37)),"",_xll.PITimeDat(Data_mbcb!AD$31,Data_mbcb!$G37,"pi_server","interpolated"))</f>
        <v/>
      </c>
      <c r="AE37" s="157" t="str">
        <f>IF(OR($G37="",$G37=" ",ISTEXT($G37)),"",_xll.PITimeDat(Data_mbcb!AE$31,Data_mbcb!$G37,"pi_server","interpolated"))</f>
        <v/>
      </c>
      <c r="AF37" s="157" t="str">
        <f>IF(OR($G37="",$G37=" ",ISTEXT($G37)),"",_xll.PITimeDat(Data_mbcb!AF$31,Data_mbcb!$G37,"pi_server","interpolated"))</f>
        <v/>
      </c>
      <c r="AG37" s="157" t="str">
        <f>IF(OR($G37="",$G37=" ",ISTEXT($G37)),"",_xll.PITimeDat(Data_mbcb!AG$31,Data_mbcb!$G37,"pi_server","interpolated"))</f>
        <v/>
      </c>
      <c r="AH37" s="157" t="str">
        <f>IF(OR($G37="",$G37=" ",ISTEXT($G37)),"",_xll.PITimeDat(Data_mbcb!AH$31,Data_mbcb!$G37,"pi_server","interpolated"))</f>
        <v/>
      </c>
      <c r="AI37" s="157" t="str">
        <f>IF(OR($G37="",$G37=" ",ISTEXT($G37)),"",_xll.PITimeDat(Data_mbcb!AI$31,Data_mbcb!$G37,"pi_server","interpolated"))</f>
        <v/>
      </c>
      <c r="AJ37" s="157" t="str">
        <f>IF(OR($G37="",$G37=" ",ISTEXT($G37)),"",_xll.PITimeDat(Data_mbcb!AJ$31,Data_mbcb!$G37,"pi_server","interpolated"))</f>
        <v/>
      </c>
      <c r="AK37" s="157" t="str">
        <f>IF(OR($G37="",$G37=" ",ISTEXT($G37)),"",_xll.PITimeDat(Data_mbcb!AK$31,Data_mbcb!$G37,"pi_server","interpolated"))</f>
        <v/>
      </c>
      <c r="AL37" s="157" t="str">
        <f>IF(OR($G37="",$G37=" ",ISTEXT($G37)),"",_xll.PITimeDat(Data_mbcb!AL$31,Data_mbcb!$G37,"pi_server","interpolated"))</f>
        <v/>
      </c>
      <c r="AM37" s="66" t="str">
        <f>IF(ISTEXT(_xll.PIArcVal(Data!AK$32,Data!$G37,0,"PI_SERVER","interpolated")),"",_xll.PIArcVal(Data!AK$32,Data!$G37,0,"PI_SERVER","interpolated"))</f>
        <v/>
      </c>
      <c r="AN37" s="157" t="str">
        <f>IF(OR($G37="",$G37=" ",ISTEXT($G37)),"",_xll.PITimeDat(Data_mbcb!AN$31,Data_mbcb!$G37,"pi_server","interpolated"))</f>
        <v/>
      </c>
      <c r="AO37" s="157" t="str">
        <f>IF(OR($G37="",$G37=" ",ISTEXT($G37)),"",_xll.PITimeDat(Data_mbcb!AO$31,Data_mbcb!$G37,"pi_server","interpolated"))</f>
        <v/>
      </c>
      <c r="AP37" s="157" t="str">
        <f>IF(OR($G37="",$G37=" ",ISTEXT($G37)),"",_xll.PITimeDat(Data_mbcb!AP$31,Data_mbcb!$G37,"pi_server","interpolated"))</f>
        <v/>
      </c>
      <c r="AQ37" s="157" t="str">
        <f>IF(OR($G37="",$G37=" ",ISTEXT($G37)),"",_xll.PITimeDat(Data_mbcb!AQ$31,Data_mbcb!$G37,"pi_server","interpolated"))</f>
        <v/>
      </c>
      <c r="AR37" s="157" t="str">
        <f>IF(OR($G37="",$G37=" ",ISTEXT($G37)),"",_xll.PITimeDat(Data_mbcb!AR$31,Data_mbcb!$G37,"pi_server","interpolated"))</f>
        <v/>
      </c>
      <c r="AS37" s="69">
        <f t="shared" ref="AS37:AS45" si="89">IF(OR(L37=" ",L37="",ISTEXT(L37)), 0,1)</f>
        <v>0</v>
      </c>
      <c r="AT37" s="18"/>
      <c r="AU37" s="18"/>
      <c r="AV37" s="22"/>
      <c r="AW37" s="6"/>
      <c r="AX37" s="3">
        <f t="shared" si="18"/>
        <v>0</v>
      </c>
      <c r="AY37" s="19" t="s">
        <v>134</v>
      </c>
      <c r="AZ37" s="9">
        <v>23</v>
      </c>
      <c r="BA37" s="17" t="str">
        <f t="shared" si="11"/>
        <v/>
      </c>
      <c r="BB37" s="89" t="s">
        <v>110</v>
      </c>
      <c r="BC37" s="20">
        <v>3</v>
      </c>
      <c r="BD37" s="158" t="str">
        <f t="shared" si="81"/>
        <v/>
      </c>
      <c r="BE37" s="159" t="str">
        <f t="shared" si="82"/>
        <v/>
      </c>
      <c r="BF37" s="159" t="str">
        <f t="shared" si="83"/>
        <v/>
      </c>
      <c r="BG37" s="159" t="str">
        <f t="shared" ref="BG37:BG44" si="90">IF(J71="","",J71)</f>
        <v/>
      </c>
      <c r="BH37" s="159" t="str">
        <f t="shared" ref="BH37:BH44" si="91">IF(K71="","",K71)</f>
        <v/>
      </c>
      <c r="BI37" s="159" t="str">
        <f t="shared" ref="BI37:BI44" si="92">IF(L71="","",L71)</f>
        <v/>
      </c>
      <c r="BJ37" s="159" t="str">
        <f t="shared" ref="BJ37:BJ44" si="93">IF(M71="","",M71)</f>
        <v/>
      </c>
      <c r="BK37" s="159" t="str">
        <f t="shared" ref="BK37:BK44" si="94">IF(N71="","",N71)</f>
        <v/>
      </c>
      <c r="BL37" s="159" t="str">
        <f t="shared" ref="BL37:BL44" si="95">IF(O71="","",O71)</f>
        <v/>
      </c>
      <c r="BM37" s="159" t="str">
        <f t="shared" ref="BM37:BM44" si="96">IF(P71="","",P71)</f>
        <v/>
      </c>
      <c r="BN37" s="159" t="str">
        <f t="shared" ref="BN37:BN44" si="97">IF(Q71="","",Q71)</f>
        <v/>
      </c>
      <c r="BO37" s="159" t="str">
        <f t="shared" ref="BO37:BO44" si="98">IF(R71="","",R71)</f>
        <v/>
      </c>
      <c r="BP37" s="159" t="str">
        <f t="shared" ref="BP37:BP44" si="99">IF(S71="","",S71)</f>
        <v/>
      </c>
      <c r="BQ37" s="159" t="str">
        <f t="shared" ref="BQ37:BQ44" si="100">IF(T71="","",T71)</f>
        <v/>
      </c>
      <c r="BR37" s="159" t="str">
        <f t="shared" si="85"/>
        <v/>
      </c>
      <c r="BS37" s="159" t="str">
        <f t="shared" si="78"/>
        <v/>
      </c>
      <c r="BT37" s="159" t="str">
        <f t="shared" si="78"/>
        <v/>
      </c>
      <c r="BU37" s="159" t="str">
        <f t="shared" si="78"/>
        <v/>
      </c>
      <c r="BV37" s="159" t="str">
        <f t="shared" si="78"/>
        <v/>
      </c>
      <c r="BW37" s="159" t="str">
        <f t="shared" si="78"/>
        <v/>
      </c>
      <c r="BX37" s="159" t="str">
        <f t="shared" si="78"/>
        <v/>
      </c>
      <c r="BY37" s="159" t="str">
        <f t="shared" si="78"/>
        <v/>
      </c>
      <c r="BZ37" s="159" t="str">
        <f t="shared" si="78"/>
        <v/>
      </c>
      <c r="CA37" s="159" t="str">
        <f t="shared" si="78"/>
        <v/>
      </c>
      <c r="CB37" s="159" t="str">
        <f t="shared" si="78"/>
        <v/>
      </c>
      <c r="CC37" s="159" t="str">
        <f t="shared" si="78"/>
        <v/>
      </c>
      <c r="CD37" s="159" t="str">
        <f t="shared" si="78"/>
        <v/>
      </c>
      <c r="CE37" s="159" t="str">
        <f t="shared" si="78"/>
        <v/>
      </c>
      <c r="CF37" s="159" t="str">
        <f t="shared" si="78"/>
        <v/>
      </c>
      <c r="CG37" s="159" t="str">
        <f t="shared" si="78"/>
        <v/>
      </c>
      <c r="CH37" s="159"/>
      <c r="CI37" s="252" t="str">
        <f t="shared" si="86"/>
        <v/>
      </c>
      <c r="CJ37" s="252" t="str">
        <f t="shared" si="87"/>
        <v/>
      </c>
      <c r="CK37" s="160" t="str">
        <f>IF(AQ71="","",AQ71)</f>
        <v/>
      </c>
      <c r="CL37" s="241" t="str">
        <f t="shared" si="88"/>
        <v/>
      </c>
    </row>
    <row r="38" spans="6:90" ht="20.25" x14ac:dyDescent="0.25">
      <c r="F38" s="3">
        <v>4</v>
      </c>
      <c r="G38" s="64"/>
      <c r="H38" s="65"/>
      <c r="I38" s="157" t="str">
        <f>IF(OR($G38="",$G38=" ",ISTEXT($G38)),"",_xll.PITimeDat(Data_mbcb!I$31,Data_mbcb!$G38,"pi_server","interpolated"))</f>
        <v/>
      </c>
      <c r="J38" s="157" t="str">
        <f>IF(OR($G38="",$G38=" ",ISTEXT($G38)),"",_xll.PITimeDat(Data_mbcb!J$31,Data_mbcb!$G38,"pi_server","interpolated"))</f>
        <v/>
      </c>
      <c r="K38" s="157" t="str">
        <f>IF(OR($G38="",$G38=" ",ISTEXT($G38)),"",_xll.PITimeDat(Data_mbcb!K$31,Data_mbcb!$G38,"pi_server","interpolated"))</f>
        <v/>
      </c>
      <c r="L38" s="157" t="str">
        <f t="shared" si="79"/>
        <v/>
      </c>
      <c r="M38" s="157" t="str">
        <f>IF(OR($G38="",$G38=" ",ISTEXT($G38)),"",_xll.PITimeDat(Data_mbcb!M$31,Data_mbcb!$G38,"pi_server","interpolated"))</f>
        <v/>
      </c>
      <c r="N38" s="157" t="str">
        <f>IF(OR($G38="",$G38=" ",ISTEXT($G38)),"",_xll.PITimeDat(Data_mbcb!N$31,Data_mbcb!$G38,"pi_server","interpolated"))</f>
        <v/>
      </c>
      <c r="O38" s="157" t="str">
        <f t="shared" si="80"/>
        <v/>
      </c>
      <c r="P38" s="157" t="str">
        <f>IF(OR($G38="",$G38=" ",ISTEXT($G38)),"",_xll.PITimeDat(Data_mbcb!P$31,Data_mbcb!$G38,"pi_server","interpolated"))</f>
        <v/>
      </c>
      <c r="Q38" s="157" t="str">
        <f>IF(OR($G38="",$G38=" ",ISTEXT($G38)),"",_xll.PITimeDat(Data_mbcb!Q$31,Data_mbcb!$G38,"pi_server","interpolated"))</f>
        <v/>
      </c>
      <c r="R38" s="157" t="str">
        <f>IF(OR($G38="",$G38=" ",ISTEXT($G38)),"",_xll.PITimeDat(Data_mbcb!R$31,Data_mbcb!$G38,"pi_server","interpolated"))</f>
        <v/>
      </c>
      <c r="S38" s="157" t="str">
        <f>IF(OR($G38="",$G38=" ",ISTEXT($G38)),"",_xll.PITimeDat(Data_mbcb!S$31,Data_mbcb!$G38,"pi_server","interpolated"))</f>
        <v/>
      </c>
      <c r="T38" s="157" t="str">
        <f>IF(OR($G38="",$G38=" ",ISTEXT($G38)),"",_xll.PITimeDat(Data_mbcb!T$31,Data_mbcb!$G38,"pi_server","interpolated"))</f>
        <v/>
      </c>
      <c r="U38" s="123" t="str">
        <f>IF(ISTEXT(_xll.PIArcVal(Data!T$32,Data!$G38,0,"PI_SERVER","interpolated")),"",_xll.PIArcVal(Data!T$32,Data!$G38,0,"PI_SERVER","interpolated"))</f>
        <v/>
      </c>
      <c r="V38" s="157" t="str">
        <f>IF(OR($G38="",$G38=" ",ISTEXT($G38)),"",_xll.PITimeDat(Data_mbcb!V$31,Data_mbcb!$G38,"pi_server","interpolated"))</f>
        <v/>
      </c>
      <c r="W38" s="157" t="str">
        <f>IF(OR($G38="",$G38=" ",ISTEXT($G38)),"",_xll.PITimeDat(Data_mbcb!W$31,Data_mbcb!$G38,"pi_server","interpolated"))</f>
        <v/>
      </c>
      <c r="X38" s="157" t="str">
        <f>IF(OR($G38="",$G38=" ",ISTEXT($G38)),"",_xll.PITimeDat(Data_mbcb!X$31,Data_mbcb!$G38,"pi_server","interpolated"))</f>
        <v/>
      </c>
      <c r="Y38" s="157" t="str">
        <f>IF(OR($G38="",$G38=" ",ISTEXT($G38)),"",_xll.PITimeDat(Data_mbcb!Y$31,Data_mbcb!$G38,"pi_server","interpolated"))</f>
        <v/>
      </c>
      <c r="Z38" s="157" t="str">
        <f>IF(OR($G38="",$G38=" ",ISTEXT($G38)),"",_xll.PITimeDat(Data_mbcb!Z$31,Data_mbcb!$G38,"pi_server","interpolated"))</f>
        <v/>
      </c>
      <c r="AA38" s="157" t="str">
        <f>IF(OR($G38="",$G38=" ",ISTEXT($G38)),"",_xll.PITimeDat(Data_mbcb!AA$31,Data_mbcb!$G38,"pi_server","interpolated"))</f>
        <v/>
      </c>
      <c r="AB38" s="157" t="str">
        <f>IF(OR($G38="",$G38=" ",ISTEXT($G38)),"",_xll.PITimeDat(Data_mbcb!AB$31,Data_mbcb!$G38,"pi_server","interpolated"))</f>
        <v/>
      </c>
      <c r="AC38" s="157" t="str">
        <f>IF(OR($G38="",$G38=" ",ISTEXT($G38)),"",_xll.PITimeDat(Data_mbcb!AC$31,Data_mbcb!$G38,"pi_server","interpolated"))</f>
        <v/>
      </c>
      <c r="AD38" s="157" t="str">
        <f>IF(OR($G38="",$G38=" ",ISTEXT($G38)),"",_xll.PITimeDat(Data_mbcb!AD$31,Data_mbcb!$G38,"pi_server","interpolated"))</f>
        <v/>
      </c>
      <c r="AE38" s="157" t="str">
        <f>IF(OR($G38="",$G38=" ",ISTEXT($G38)),"",_xll.PITimeDat(Data_mbcb!AE$31,Data_mbcb!$G38,"pi_server","interpolated"))</f>
        <v/>
      </c>
      <c r="AF38" s="157" t="str">
        <f>IF(OR($G38="",$G38=" ",ISTEXT($G38)),"",_xll.PITimeDat(Data_mbcb!AF$31,Data_mbcb!$G38,"pi_server","interpolated"))</f>
        <v/>
      </c>
      <c r="AG38" s="157" t="str">
        <f>IF(OR($G38="",$G38=" ",ISTEXT($G38)),"",_xll.PITimeDat(Data_mbcb!AG$31,Data_mbcb!$G38,"pi_server","interpolated"))</f>
        <v/>
      </c>
      <c r="AH38" s="157" t="str">
        <f>IF(OR($G38="",$G38=" ",ISTEXT($G38)),"",_xll.PITimeDat(Data_mbcb!AH$31,Data_mbcb!$G38,"pi_server","interpolated"))</f>
        <v/>
      </c>
      <c r="AI38" s="157" t="str">
        <f>IF(OR($G38="",$G38=" ",ISTEXT($G38)),"",_xll.PITimeDat(Data_mbcb!AI$31,Data_mbcb!$G38,"pi_server","interpolated"))</f>
        <v/>
      </c>
      <c r="AJ38" s="157" t="str">
        <f>IF(OR($G38="",$G38=" ",ISTEXT($G38)),"",_xll.PITimeDat(Data_mbcb!AJ$31,Data_mbcb!$G38,"pi_server","interpolated"))</f>
        <v/>
      </c>
      <c r="AK38" s="157" t="str">
        <f>IF(OR($G38="",$G38=" ",ISTEXT($G38)),"",_xll.PITimeDat(Data_mbcb!AK$31,Data_mbcb!$G38,"pi_server","interpolated"))</f>
        <v/>
      </c>
      <c r="AL38" s="157" t="str">
        <f>IF(OR($G38="",$G38=" ",ISTEXT($G38)),"",_xll.PITimeDat(Data_mbcb!AL$31,Data_mbcb!$G38,"pi_server","interpolated"))</f>
        <v/>
      </c>
      <c r="AM38" s="66" t="str">
        <f>IF(ISTEXT(_xll.PIArcVal(Data!AK$32,Data!$G38,0,"PI_SERVER","interpolated")),"",_xll.PIArcVal(Data!AK$32,Data!$G38,0,"PI_SERVER","interpolated"))</f>
        <v/>
      </c>
      <c r="AN38" s="157" t="str">
        <f>IF(OR($G38="",$G38=" ",ISTEXT($G38)),"",_xll.PITimeDat(Data_mbcb!AN$31,Data_mbcb!$G38,"pi_server","interpolated"))</f>
        <v/>
      </c>
      <c r="AO38" s="157" t="str">
        <f>IF(OR($G38="",$G38=" ",ISTEXT($G38)),"",_xll.PITimeDat(Data_mbcb!AO$31,Data_mbcb!$G38,"pi_server","interpolated"))</f>
        <v/>
      </c>
      <c r="AP38" s="157" t="str">
        <f>IF(OR($G38="",$G38=" ",ISTEXT($G38)),"",_xll.PITimeDat(Data_mbcb!AP$31,Data_mbcb!$G38,"pi_server","interpolated"))</f>
        <v/>
      </c>
      <c r="AQ38" s="157" t="str">
        <f>IF(OR($G38="",$G38=" ",ISTEXT($G38)),"",_xll.PITimeDat(Data_mbcb!AQ$31,Data_mbcb!$G38,"pi_server","interpolated"))</f>
        <v/>
      </c>
      <c r="AR38" s="157" t="str">
        <f>IF(OR($G38="",$G38=" ",ISTEXT($G38)),"",_xll.PITimeDat(Data_mbcb!AR$31,Data_mbcb!$G38,"pi_server","interpolated"))</f>
        <v/>
      </c>
      <c r="AS38" s="69">
        <f t="shared" si="89"/>
        <v>0</v>
      </c>
      <c r="AT38" s="18"/>
      <c r="AU38" s="18"/>
      <c r="AV38" s="12"/>
      <c r="AW38" s="6"/>
      <c r="AX38" s="3">
        <f t="shared" si="18"/>
        <v>0</v>
      </c>
      <c r="AY38" s="19" t="s">
        <v>135</v>
      </c>
      <c r="AZ38" s="9">
        <v>24</v>
      </c>
      <c r="BA38" s="17" t="str">
        <f t="shared" si="11"/>
        <v/>
      </c>
      <c r="BB38" s="89" t="s">
        <v>110</v>
      </c>
      <c r="BC38" s="20">
        <v>4</v>
      </c>
      <c r="BD38" s="158" t="str">
        <f t="shared" si="81"/>
        <v/>
      </c>
      <c r="BE38" s="159" t="str">
        <f t="shared" si="82"/>
        <v/>
      </c>
      <c r="BF38" s="159" t="str">
        <f t="shared" si="83"/>
        <v/>
      </c>
      <c r="BG38" s="159" t="str">
        <f t="shared" si="90"/>
        <v/>
      </c>
      <c r="BH38" s="159" t="str">
        <f t="shared" si="91"/>
        <v/>
      </c>
      <c r="BI38" s="159" t="str">
        <f t="shared" si="92"/>
        <v/>
      </c>
      <c r="BJ38" s="159" t="str">
        <f t="shared" si="93"/>
        <v/>
      </c>
      <c r="BK38" s="159" t="str">
        <f t="shared" si="94"/>
        <v/>
      </c>
      <c r="BL38" s="159" t="str">
        <f t="shared" si="95"/>
        <v/>
      </c>
      <c r="BM38" s="159" t="str">
        <f t="shared" si="96"/>
        <v/>
      </c>
      <c r="BN38" s="159" t="str">
        <f t="shared" si="97"/>
        <v/>
      </c>
      <c r="BO38" s="159" t="str">
        <f t="shared" si="98"/>
        <v/>
      </c>
      <c r="BP38" s="159" t="str">
        <f t="shared" si="99"/>
        <v/>
      </c>
      <c r="BQ38" s="159" t="str">
        <f t="shared" si="100"/>
        <v/>
      </c>
      <c r="BR38" s="159" t="str">
        <f t="shared" si="85"/>
        <v/>
      </c>
      <c r="BS38" s="159" t="str">
        <f t="shared" si="78"/>
        <v/>
      </c>
      <c r="BT38" s="159" t="str">
        <f t="shared" si="78"/>
        <v/>
      </c>
      <c r="BU38" s="159" t="str">
        <f t="shared" si="78"/>
        <v/>
      </c>
      <c r="BV38" s="159" t="str">
        <f t="shared" si="78"/>
        <v/>
      </c>
      <c r="BW38" s="159" t="str">
        <f t="shared" si="78"/>
        <v/>
      </c>
      <c r="BX38" s="159" t="str">
        <f t="shared" si="78"/>
        <v/>
      </c>
      <c r="BY38" s="159" t="str">
        <f t="shared" si="78"/>
        <v/>
      </c>
      <c r="BZ38" s="159" t="str">
        <f t="shared" si="78"/>
        <v/>
      </c>
      <c r="CA38" s="159" t="str">
        <f t="shared" si="78"/>
        <v/>
      </c>
      <c r="CB38" s="159" t="str">
        <f t="shared" si="78"/>
        <v/>
      </c>
      <c r="CC38" s="159" t="str">
        <f t="shared" si="78"/>
        <v/>
      </c>
      <c r="CD38" s="159" t="str">
        <f t="shared" si="78"/>
        <v/>
      </c>
      <c r="CE38" s="159" t="str">
        <f t="shared" si="78"/>
        <v/>
      </c>
      <c r="CF38" s="159" t="str">
        <f t="shared" si="78"/>
        <v/>
      </c>
      <c r="CG38" s="159" t="str">
        <f t="shared" si="78"/>
        <v/>
      </c>
      <c r="CH38" s="159"/>
      <c r="CI38" s="252" t="str">
        <f t="shared" si="86"/>
        <v/>
      </c>
      <c r="CJ38" s="252" t="str">
        <f t="shared" si="87"/>
        <v/>
      </c>
      <c r="CK38" s="160" t="str">
        <f t="shared" ref="CK38:CK44" si="101">IF(AQ72="","",AQ72)</f>
        <v/>
      </c>
      <c r="CL38" s="241" t="str">
        <f t="shared" si="88"/>
        <v/>
      </c>
    </row>
    <row r="39" spans="6:90" ht="20.25" x14ac:dyDescent="0.25">
      <c r="F39" s="3">
        <v>5</v>
      </c>
      <c r="G39" s="64"/>
      <c r="H39" s="65"/>
      <c r="I39" s="157" t="str">
        <f>IF(OR($G39="",$G39=" ",ISTEXT($G39)),"",_xll.PITimeDat(Data_mbcb!I$31,Data_mbcb!$G39,"pi_server","interpolated"))</f>
        <v/>
      </c>
      <c r="J39" s="157" t="str">
        <f>IF(OR($G39="",$G39=" ",ISTEXT($G39)),"",_xll.PITimeDat(Data_mbcb!J$31,Data_mbcb!$G39,"pi_server","interpolated"))</f>
        <v/>
      </c>
      <c r="K39" s="157" t="str">
        <f>IF(OR($G39="",$G39=" ",ISTEXT($G39)),"",_xll.PITimeDat(Data_mbcb!K$31,Data_mbcb!$G39,"pi_server","interpolated"))</f>
        <v/>
      </c>
      <c r="L39" s="157" t="str">
        <f t="shared" si="79"/>
        <v/>
      </c>
      <c r="M39" s="157" t="str">
        <f>IF(OR($G39="",$G39=" ",ISTEXT($G39)),"",_xll.PITimeDat(Data_mbcb!M$31,Data_mbcb!$G39,"pi_server","interpolated"))</f>
        <v/>
      </c>
      <c r="N39" s="157" t="str">
        <f>IF(OR($G39="",$G39=" ",ISTEXT($G39)),"",_xll.PITimeDat(Data_mbcb!N$31,Data_mbcb!$G39,"pi_server","interpolated"))</f>
        <v/>
      </c>
      <c r="O39" s="157" t="str">
        <f t="shared" si="80"/>
        <v/>
      </c>
      <c r="P39" s="157" t="str">
        <f>IF(OR($G39="",$G39=" ",ISTEXT($G39)),"",_xll.PITimeDat(Data_mbcb!P$31,Data_mbcb!$G39,"pi_server","interpolated"))</f>
        <v/>
      </c>
      <c r="Q39" s="157" t="str">
        <f>IF(OR($G39="",$G39=" ",ISTEXT($G39)),"",_xll.PITimeDat(Data_mbcb!Q$31,Data_mbcb!$G39,"pi_server","interpolated"))</f>
        <v/>
      </c>
      <c r="R39" s="157" t="str">
        <f>IF(OR($G39="",$G39=" ",ISTEXT($G39)),"",_xll.PITimeDat(Data_mbcb!R$31,Data_mbcb!$G39,"pi_server","interpolated"))</f>
        <v/>
      </c>
      <c r="S39" s="157" t="str">
        <f>IF(OR($G39="",$G39=" ",ISTEXT($G39)),"",_xll.PITimeDat(Data_mbcb!S$31,Data_mbcb!$G39,"pi_server","interpolated"))</f>
        <v/>
      </c>
      <c r="T39" s="157" t="str">
        <f>IF(OR($G39="",$G39=" ",ISTEXT($G39)),"",_xll.PITimeDat(Data_mbcb!T$31,Data_mbcb!$G39,"pi_server","interpolated"))</f>
        <v/>
      </c>
      <c r="U39" s="123" t="str">
        <f>IF(ISTEXT(_xll.PIArcVal(Data!T$32,Data!$G39,0,"PI_SERVER","interpolated")),"",_xll.PIArcVal(Data!T$32,Data!$G39,0,"PI_SERVER","interpolated"))</f>
        <v/>
      </c>
      <c r="V39" s="157" t="str">
        <f>IF(OR($G39="",$G39=" ",ISTEXT($G39)),"",_xll.PITimeDat(Data_mbcb!V$31,Data_mbcb!$G39,"pi_server","interpolated"))</f>
        <v/>
      </c>
      <c r="W39" s="157" t="str">
        <f>IF(OR($G39="",$G39=" ",ISTEXT($G39)),"",_xll.PITimeDat(Data_mbcb!W$31,Data_mbcb!$G39,"pi_server","interpolated"))</f>
        <v/>
      </c>
      <c r="X39" s="157" t="str">
        <f>IF(OR($G39="",$G39=" ",ISTEXT($G39)),"",_xll.PITimeDat(Data_mbcb!X$31,Data_mbcb!$G39,"pi_server","interpolated"))</f>
        <v/>
      </c>
      <c r="Y39" s="157" t="str">
        <f>IF(OR($G39="",$G39=" ",ISTEXT($G39)),"",_xll.PITimeDat(Data_mbcb!Y$31,Data_mbcb!$G39,"pi_server","interpolated"))</f>
        <v/>
      </c>
      <c r="Z39" s="157" t="str">
        <f>IF(OR($G39="",$G39=" ",ISTEXT($G39)),"",_xll.PITimeDat(Data_mbcb!Z$31,Data_mbcb!$G39,"pi_server","interpolated"))</f>
        <v/>
      </c>
      <c r="AA39" s="157" t="str">
        <f>IF(OR($G39="",$G39=" ",ISTEXT($G39)),"",_xll.PITimeDat(Data_mbcb!AA$31,Data_mbcb!$G39,"pi_server","interpolated"))</f>
        <v/>
      </c>
      <c r="AB39" s="157" t="str">
        <f>IF(OR($G39="",$G39=" ",ISTEXT($G39)),"",_xll.PITimeDat(Data_mbcb!AB$31,Data_mbcb!$G39,"pi_server","interpolated"))</f>
        <v/>
      </c>
      <c r="AC39" s="157" t="str">
        <f>IF(OR($G39="",$G39=" ",ISTEXT($G39)),"",_xll.PITimeDat(Data_mbcb!AC$31,Data_mbcb!$G39,"pi_server","interpolated"))</f>
        <v/>
      </c>
      <c r="AD39" s="157" t="str">
        <f>IF(OR($G39="",$G39=" ",ISTEXT($G39)),"",_xll.PITimeDat(Data_mbcb!AD$31,Data_mbcb!$G39,"pi_server","interpolated"))</f>
        <v/>
      </c>
      <c r="AE39" s="157" t="str">
        <f>IF(OR($G39="",$G39=" ",ISTEXT($G39)),"",_xll.PITimeDat(Data_mbcb!AE$31,Data_mbcb!$G39,"pi_server","interpolated"))</f>
        <v/>
      </c>
      <c r="AF39" s="157" t="str">
        <f>IF(OR($G39="",$G39=" ",ISTEXT($G39)),"",_xll.PITimeDat(Data_mbcb!AF$31,Data_mbcb!$G39,"pi_server","interpolated"))</f>
        <v/>
      </c>
      <c r="AG39" s="157" t="str">
        <f>IF(OR($G39="",$G39=" ",ISTEXT($G39)),"",_xll.PITimeDat(Data_mbcb!AG$31,Data_mbcb!$G39,"pi_server","interpolated"))</f>
        <v/>
      </c>
      <c r="AH39" s="157" t="str">
        <f>IF(OR($G39="",$G39=" ",ISTEXT($G39)),"",_xll.PITimeDat(Data_mbcb!AH$31,Data_mbcb!$G39,"pi_server","interpolated"))</f>
        <v/>
      </c>
      <c r="AI39" s="157" t="str">
        <f>IF(OR($G39="",$G39=" ",ISTEXT($G39)),"",_xll.PITimeDat(Data_mbcb!AI$31,Data_mbcb!$G39,"pi_server","interpolated"))</f>
        <v/>
      </c>
      <c r="AJ39" s="157" t="str">
        <f>IF(OR($G39="",$G39=" ",ISTEXT($G39)),"",_xll.PITimeDat(Data_mbcb!AJ$31,Data_mbcb!$G39,"pi_server","interpolated"))</f>
        <v/>
      </c>
      <c r="AK39" s="157" t="str">
        <f>IF(OR($G39="",$G39=" ",ISTEXT($G39)),"",_xll.PITimeDat(Data_mbcb!AK$31,Data_mbcb!$G39,"pi_server","interpolated"))</f>
        <v/>
      </c>
      <c r="AL39" s="157" t="str">
        <f>IF(OR($G39="",$G39=" ",ISTEXT($G39)),"",_xll.PITimeDat(Data_mbcb!AL$31,Data_mbcb!$G39,"pi_server","interpolated"))</f>
        <v/>
      </c>
      <c r="AM39" s="66" t="str">
        <f>IF(ISTEXT(_xll.PIArcVal(Data!AK$32,Data!$G39,0,"PI_SERVER","interpolated")),"",_xll.PIArcVal(Data!AK$32,Data!$G39,0,"PI_SERVER","interpolated"))</f>
        <v/>
      </c>
      <c r="AN39" s="157" t="str">
        <f>IF(OR($G39="",$G39=" ",ISTEXT($G39)),"",_xll.PITimeDat(Data_mbcb!AN$31,Data_mbcb!$G39,"pi_server","interpolated"))</f>
        <v/>
      </c>
      <c r="AO39" s="157" t="str">
        <f>IF(OR($G39="",$G39=" ",ISTEXT($G39)),"",_xll.PITimeDat(Data_mbcb!AO$31,Data_mbcb!$G39,"pi_server","interpolated"))</f>
        <v/>
      </c>
      <c r="AP39" s="157" t="str">
        <f>IF(OR($G39="",$G39=" ",ISTEXT($G39)),"",_xll.PITimeDat(Data_mbcb!AP$31,Data_mbcb!$G39,"pi_server","interpolated"))</f>
        <v/>
      </c>
      <c r="AQ39" s="157" t="str">
        <f>IF(OR($G39="",$G39=" ",ISTEXT($G39)),"",_xll.PITimeDat(Data_mbcb!AQ$31,Data_mbcb!$G39,"pi_server","interpolated"))</f>
        <v/>
      </c>
      <c r="AR39" s="157" t="str">
        <f>IF(OR($G39="",$G39=" ",ISTEXT($G39)),"",_xll.PITimeDat(Data_mbcb!AR$31,Data_mbcb!$G39,"pi_server","interpolated"))</f>
        <v/>
      </c>
      <c r="AS39" s="69">
        <f t="shared" si="89"/>
        <v>0</v>
      </c>
      <c r="AT39" s="18"/>
      <c r="AU39" s="18"/>
      <c r="AV39" s="18"/>
      <c r="AW39" s="6"/>
      <c r="AX39" s="3">
        <f t="shared" si="18"/>
        <v>0</v>
      </c>
      <c r="AY39" s="19" t="s">
        <v>136</v>
      </c>
      <c r="AZ39" s="9">
        <v>25</v>
      </c>
      <c r="BA39" s="17" t="str">
        <f t="shared" si="11"/>
        <v/>
      </c>
      <c r="BB39" s="89" t="s">
        <v>110</v>
      </c>
      <c r="BC39" s="20">
        <v>5</v>
      </c>
      <c r="BD39" s="158" t="str">
        <f t="shared" si="81"/>
        <v/>
      </c>
      <c r="BE39" s="159" t="str">
        <f t="shared" si="82"/>
        <v/>
      </c>
      <c r="BF39" s="159" t="str">
        <f t="shared" si="83"/>
        <v/>
      </c>
      <c r="BG39" s="159" t="str">
        <f t="shared" si="90"/>
        <v/>
      </c>
      <c r="BH39" s="159" t="str">
        <f t="shared" si="91"/>
        <v/>
      </c>
      <c r="BI39" s="159" t="str">
        <f t="shared" si="92"/>
        <v/>
      </c>
      <c r="BJ39" s="159" t="str">
        <f t="shared" si="93"/>
        <v/>
      </c>
      <c r="BK39" s="159" t="str">
        <f t="shared" si="94"/>
        <v/>
      </c>
      <c r="BL39" s="159" t="str">
        <f t="shared" si="95"/>
        <v/>
      </c>
      <c r="BM39" s="159" t="str">
        <f t="shared" si="96"/>
        <v/>
      </c>
      <c r="BN39" s="159" t="str">
        <f t="shared" si="97"/>
        <v/>
      </c>
      <c r="BO39" s="159" t="str">
        <f t="shared" si="98"/>
        <v/>
      </c>
      <c r="BP39" s="159" t="str">
        <f t="shared" si="99"/>
        <v/>
      </c>
      <c r="BQ39" s="159" t="str">
        <f t="shared" si="100"/>
        <v/>
      </c>
      <c r="BR39" s="159" t="str">
        <f t="shared" si="85"/>
        <v/>
      </c>
      <c r="BS39" s="159" t="str">
        <f t="shared" si="78"/>
        <v/>
      </c>
      <c r="BT39" s="159" t="str">
        <f t="shared" si="78"/>
        <v/>
      </c>
      <c r="BU39" s="159" t="str">
        <f t="shared" si="78"/>
        <v/>
      </c>
      <c r="BV39" s="159" t="str">
        <f t="shared" si="78"/>
        <v/>
      </c>
      <c r="BW39" s="159" t="str">
        <f t="shared" si="78"/>
        <v/>
      </c>
      <c r="BX39" s="159" t="str">
        <f t="shared" si="78"/>
        <v/>
      </c>
      <c r="BY39" s="159" t="str">
        <f t="shared" si="78"/>
        <v/>
      </c>
      <c r="BZ39" s="159" t="str">
        <f t="shared" si="78"/>
        <v/>
      </c>
      <c r="CA39" s="159" t="str">
        <f t="shared" si="78"/>
        <v/>
      </c>
      <c r="CB39" s="159" t="str">
        <f t="shared" si="78"/>
        <v/>
      </c>
      <c r="CC39" s="159" t="str">
        <f t="shared" si="78"/>
        <v/>
      </c>
      <c r="CD39" s="159" t="str">
        <f t="shared" si="78"/>
        <v/>
      </c>
      <c r="CE39" s="159" t="str">
        <f t="shared" si="78"/>
        <v/>
      </c>
      <c r="CF39" s="159" t="str">
        <f t="shared" si="78"/>
        <v/>
      </c>
      <c r="CG39" s="159" t="str">
        <f t="shared" si="78"/>
        <v/>
      </c>
      <c r="CH39" s="159"/>
      <c r="CI39" s="252" t="str">
        <f t="shared" si="86"/>
        <v/>
      </c>
      <c r="CJ39" s="252" t="str">
        <f t="shared" si="87"/>
        <v/>
      </c>
      <c r="CK39" s="160" t="str">
        <f t="shared" si="101"/>
        <v/>
      </c>
      <c r="CL39" s="241" t="str">
        <f t="shared" si="88"/>
        <v/>
      </c>
    </row>
    <row r="40" spans="6:90" ht="20.25" x14ac:dyDescent="0.25">
      <c r="F40" s="3">
        <v>6</v>
      </c>
      <c r="G40" s="64"/>
      <c r="H40" s="65"/>
      <c r="I40" s="157" t="str">
        <f>IF(OR($G40="",$G40=" ",ISTEXT($G40)),"",_xll.PITimeDat(Data_mbcb!I$31,Data_mbcb!$G40,"pi_server","interpolated"))</f>
        <v/>
      </c>
      <c r="J40" s="157" t="str">
        <f>IF(OR($G40="",$G40=" ",ISTEXT($G40)),"",_xll.PITimeDat(Data_mbcb!J$31,Data_mbcb!$G40,"pi_server","interpolated"))</f>
        <v/>
      </c>
      <c r="K40" s="157" t="str">
        <f>IF(OR($G40="",$G40=" ",ISTEXT($G40)),"",_xll.PITimeDat(Data_mbcb!K$31,Data_mbcb!$G40,"pi_server","interpolated"))</f>
        <v/>
      </c>
      <c r="L40" s="157" t="str">
        <f t="shared" si="79"/>
        <v/>
      </c>
      <c r="M40" s="157" t="str">
        <f>IF(OR($G40="",$G40=" ",ISTEXT($G40)),"",_xll.PITimeDat(Data_mbcb!M$31,Data_mbcb!$G40,"pi_server","interpolated"))</f>
        <v/>
      </c>
      <c r="N40" s="157" t="str">
        <f>IF(OR($G40="",$G40=" ",ISTEXT($G40)),"",_xll.PITimeDat(Data_mbcb!N$31,Data_mbcb!$G40,"pi_server","interpolated"))</f>
        <v/>
      </c>
      <c r="O40" s="157" t="str">
        <f t="shared" si="80"/>
        <v/>
      </c>
      <c r="P40" s="157" t="str">
        <f>IF(OR($G40="",$G40=" ",ISTEXT($G40)),"",_xll.PITimeDat(Data_mbcb!P$31,Data_mbcb!$G40,"pi_server","interpolated"))</f>
        <v/>
      </c>
      <c r="Q40" s="157" t="str">
        <f>IF(OR($G40="",$G40=" ",ISTEXT($G40)),"",_xll.PITimeDat(Data_mbcb!Q$31,Data_mbcb!$G40,"pi_server","interpolated"))</f>
        <v/>
      </c>
      <c r="R40" s="157" t="str">
        <f>IF(OR($G40="",$G40=" ",ISTEXT($G40)),"",_xll.PITimeDat(Data_mbcb!R$31,Data_mbcb!$G40,"pi_server","interpolated"))</f>
        <v/>
      </c>
      <c r="S40" s="157" t="str">
        <f>IF(OR($G40="",$G40=" ",ISTEXT($G40)),"",_xll.PITimeDat(Data_mbcb!S$31,Data_mbcb!$G40,"pi_server","interpolated"))</f>
        <v/>
      </c>
      <c r="T40" s="157" t="str">
        <f>IF(OR($G40="",$G40=" ",ISTEXT($G40)),"",_xll.PITimeDat(Data_mbcb!T$31,Data_mbcb!$G40,"pi_server","interpolated"))</f>
        <v/>
      </c>
      <c r="U40" s="123" t="str">
        <f>IF(ISTEXT(_xll.PIArcVal(Data!T$32,Data!$G40,0,"PI_SERVER","interpolated")),"",_xll.PIArcVal(Data!T$32,Data!$G40,0,"PI_SERVER","interpolated"))</f>
        <v/>
      </c>
      <c r="V40" s="157" t="str">
        <f>IF(OR($G40="",$G40=" ",ISTEXT($G40)),"",_xll.PITimeDat(Data_mbcb!V$31,Data_mbcb!$G40,"pi_server","interpolated"))</f>
        <v/>
      </c>
      <c r="W40" s="157" t="str">
        <f>IF(OR($G40="",$G40=" ",ISTEXT($G40)),"",_xll.PITimeDat(Data_mbcb!W$31,Data_mbcb!$G40,"pi_server","interpolated"))</f>
        <v/>
      </c>
      <c r="X40" s="157" t="str">
        <f>IF(OR($G40="",$G40=" ",ISTEXT($G40)),"",_xll.PITimeDat(Data_mbcb!X$31,Data_mbcb!$G40,"pi_server","interpolated"))</f>
        <v/>
      </c>
      <c r="Y40" s="157" t="str">
        <f>IF(OR($G40="",$G40=" ",ISTEXT($G40)),"",_xll.PITimeDat(Data_mbcb!Y$31,Data_mbcb!$G40,"pi_server","interpolated"))</f>
        <v/>
      </c>
      <c r="Z40" s="157" t="str">
        <f>IF(OR($G40="",$G40=" ",ISTEXT($G40)),"",_xll.PITimeDat(Data_mbcb!Z$31,Data_mbcb!$G40,"pi_server","interpolated"))</f>
        <v/>
      </c>
      <c r="AA40" s="157" t="str">
        <f>IF(OR($G40="",$G40=" ",ISTEXT($G40)),"",_xll.PITimeDat(Data_mbcb!AA$31,Data_mbcb!$G40,"pi_server","interpolated"))</f>
        <v/>
      </c>
      <c r="AB40" s="157" t="str">
        <f>IF(OR($G40="",$G40=" ",ISTEXT($G40)),"",_xll.PITimeDat(Data_mbcb!AB$31,Data_mbcb!$G40,"pi_server","interpolated"))</f>
        <v/>
      </c>
      <c r="AC40" s="157" t="str">
        <f>IF(OR($G40="",$G40=" ",ISTEXT($G40)),"",_xll.PITimeDat(Data_mbcb!AC$31,Data_mbcb!$G40,"pi_server","interpolated"))</f>
        <v/>
      </c>
      <c r="AD40" s="157" t="str">
        <f>IF(OR($G40="",$G40=" ",ISTEXT($G40)),"",_xll.PITimeDat(Data_mbcb!AD$31,Data_mbcb!$G40,"pi_server","interpolated"))</f>
        <v/>
      </c>
      <c r="AE40" s="157" t="str">
        <f>IF(OR($G40="",$G40=" ",ISTEXT($G40)),"",_xll.PITimeDat(Data_mbcb!AE$31,Data_mbcb!$G40,"pi_server","interpolated"))</f>
        <v/>
      </c>
      <c r="AF40" s="157" t="str">
        <f>IF(OR($G40="",$G40=" ",ISTEXT($G40)),"",_xll.PITimeDat(Data_mbcb!AF$31,Data_mbcb!$G40,"pi_server","interpolated"))</f>
        <v/>
      </c>
      <c r="AG40" s="157" t="str">
        <f>IF(OR($G40="",$G40=" ",ISTEXT($G40)),"",_xll.PITimeDat(Data_mbcb!AG$31,Data_mbcb!$G40,"pi_server","interpolated"))</f>
        <v/>
      </c>
      <c r="AH40" s="157" t="str">
        <f>IF(OR($G40="",$G40=" ",ISTEXT($G40)),"",_xll.PITimeDat(Data_mbcb!AH$31,Data_mbcb!$G40,"pi_server","interpolated"))</f>
        <v/>
      </c>
      <c r="AI40" s="157" t="str">
        <f>IF(OR($G40="",$G40=" ",ISTEXT($G40)),"",_xll.PITimeDat(Data_mbcb!AI$31,Data_mbcb!$G40,"pi_server","interpolated"))</f>
        <v/>
      </c>
      <c r="AJ40" s="157" t="str">
        <f>IF(OR($G40="",$G40=" ",ISTEXT($G40)),"",_xll.PITimeDat(Data_mbcb!AJ$31,Data_mbcb!$G40,"pi_server","interpolated"))</f>
        <v/>
      </c>
      <c r="AK40" s="157" t="str">
        <f>IF(OR($G40="",$G40=" ",ISTEXT($G40)),"",_xll.PITimeDat(Data_mbcb!AK$31,Data_mbcb!$G40,"pi_server","interpolated"))</f>
        <v/>
      </c>
      <c r="AL40" s="157" t="str">
        <f>IF(OR($G40="",$G40=" ",ISTEXT($G40)),"",_xll.PITimeDat(Data_mbcb!AL$31,Data_mbcb!$G40,"pi_server","interpolated"))</f>
        <v/>
      </c>
      <c r="AM40" s="66" t="str">
        <f>IF(ISTEXT(_xll.PIArcVal(Data!AK$32,Data!$G40,0,"PI_SERVER","interpolated")),"",_xll.PIArcVal(Data!AK$32,Data!$G40,0,"PI_SERVER","interpolated"))</f>
        <v/>
      </c>
      <c r="AN40" s="157" t="str">
        <f>IF(OR($G40="",$G40=" ",ISTEXT($G40)),"",_xll.PITimeDat(Data_mbcb!AN$31,Data_mbcb!$G40,"pi_server","interpolated"))</f>
        <v/>
      </c>
      <c r="AO40" s="157" t="str">
        <f>IF(OR($G40="",$G40=" ",ISTEXT($G40)),"",_xll.PITimeDat(Data_mbcb!AO$31,Data_mbcb!$G40,"pi_server","interpolated"))</f>
        <v/>
      </c>
      <c r="AP40" s="157" t="str">
        <f>IF(OR($G40="",$G40=" ",ISTEXT($G40)),"",_xll.PITimeDat(Data_mbcb!AP$31,Data_mbcb!$G40,"pi_server","interpolated"))</f>
        <v/>
      </c>
      <c r="AQ40" s="157" t="str">
        <f>IF(OR($G40="",$G40=" ",ISTEXT($G40)),"",_xll.PITimeDat(Data_mbcb!AQ$31,Data_mbcb!$G40,"pi_server","interpolated"))</f>
        <v/>
      </c>
      <c r="AR40" s="157" t="str">
        <f>IF(OR($G40="",$G40=" ",ISTEXT($G40)),"",_xll.PITimeDat(Data_mbcb!AR$31,Data_mbcb!$G40,"pi_server","interpolated"))</f>
        <v/>
      </c>
      <c r="AS40" s="69">
        <f t="shared" si="89"/>
        <v>0</v>
      </c>
      <c r="AT40" s="18"/>
      <c r="AU40" s="18"/>
      <c r="AV40" s="18"/>
      <c r="AW40" s="6"/>
      <c r="AX40" s="3">
        <f t="shared" si="18"/>
        <v>0</v>
      </c>
      <c r="AY40" s="19" t="s">
        <v>137</v>
      </c>
      <c r="AZ40" s="9">
        <v>26</v>
      </c>
      <c r="BA40" s="17" t="str">
        <f t="shared" si="11"/>
        <v/>
      </c>
      <c r="BB40" s="89" t="s">
        <v>110</v>
      </c>
      <c r="BC40" s="20">
        <v>6</v>
      </c>
      <c r="BD40" s="158" t="str">
        <f t="shared" si="81"/>
        <v/>
      </c>
      <c r="BE40" s="159" t="str">
        <f t="shared" si="82"/>
        <v/>
      </c>
      <c r="BF40" s="159" t="str">
        <f t="shared" si="83"/>
        <v/>
      </c>
      <c r="BG40" s="159" t="str">
        <f t="shared" si="90"/>
        <v/>
      </c>
      <c r="BH40" s="159" t="str">
        <f t="shared" si="91"/>
        <v/>
      </c>
      <c r="BI40" s="159" t="str">
        <f t="shared" si="92"/>
        <v/>
      </c>
      <c r="BJ40" s="159" t="str">
        <f t="shared" si="93"/>
        <v/>
      </c>
      <c r="BK40" s="159" t="str">
        <f t="shared" si="94"/>
        <v/>
      </c>
      <c r="BL40" s="159" t="str">
        <f t="shared" si="95"/>
        <v/>
      </c>
      <c r="BM40" s="159" t="str">
        <f t="shared" si="96"/>
        <v/>
      </c>
      <c r="BN40" s="159" t="str">
        <f t="shared" si="97"/>
        <v/>
      </c>
      <c r="BO40" s="159" t="str">
        <f t="shared" si="98"/>
        <v/>
      </c>
      <c r="BP40" s="159" t="str">
        <f t="shared" si="99"/>
        <v/>
      </c>
      <c r="BQ40" s="159" t="str">
        <f t="shared" si="100"/>
        <v/>
      </c>
      <c r="BR40" s="159" t="str">
        <f t="shared" si="85"/>
        <v/>
      </c>
      <c r="BS40" s="159" t="str">
        <f t="shared" si="78"/>
        <v/>
      </c>
      <c r="BT40" s="159" t="str">
        <f t="shared" si="78"/>
        <v/>
      </c>
      <c r="BU40" s="159" t="str">
        <f t="shared" si="78"/>
        <v/>
      </c>
      <c r="BV40" s="159" t="str">
        <f t="shared" si="78"/>
        <v/>
      </c>
      <c r="BW40" s="159" t="str">
        <f t="shared" si="78"/>
        <v/>
      </c>
      <c r="BX40" s="159" t="str">
        <f t="shared" si="78"/>
        <v/>
      </c>
      <c r="BY40" s="159" t="str">
        <f t="shared" si="78"/>
        <v/>
      </c>
      <c r="BZ40" s="159" t="str">
        <f t="shared" si="78"/>
        <v/>
      </c>
      <c r="CA40" s="159" t="str">
        <f t="shared" si="78"/>
        <v/>
      </c>
      <c r="CB40" s="159" t="str">
        <f t="shared" si="78"/>
        <v/>
      </c>
      <c r="CC40" s="159" t="str">
        <f t="shared" si="78"/>
        <v/>
      </c>
      <c r="CD40" s="159" t="str">
        <f t="shared" si="78"/>
        <v/>
      </c>
      <c r="CE40" s="159" t="str">
        <f t="shared" si="78"/>
        <v/>
      </c>
      <c r="CF40" s="159" t="str">
        <f t="shared" si="78"/>
        <v/>
      </c>
      <c r="CG40" s="159" t="str">
        <f t="shared" si="78"/>
        <v/>
      </c>
      <c r="CH40" s="159"/>
      <c r="CI40" s="252" t="str">
        <f t="shared" si="86"/>
        <v/>
      </c>
      <c r="CJ40" s="252" t="str">
        <f t="shared" si="87"/>
        <v/>
      </c>
      <c r="CK40" s="160" t="str">
        <f t="shared" si="101"/>
        <v/>
      </c>
      <c r="CL40" s="241" t="str">
        <f t="shared" si="88"/>
        <v/>
      </c>
    </row>
    <row r="41" spans="6:90" ht="20.25" x14ac:dyDescent="0.25">
      <c r="F41" s="3">
        <v>7</v>
      </c>
      <c r="G41" s="64"/>
      <c r="H41" s="65"/>
      <c r="I41" s="157" t="str">
        <f>IF(OR($G41="",$G41=" ",ISTEXT($G41)),"",_xll.PITimeDat(Data_mbcb!I$31,Data_mbcb!$G41,"pi_server","interpolated"))</f>
        <v/>
      </c>
      <c r="J41" s="157" t="str">
        <f>IF(OR($G41="",$G41=" ",ISTEXT($G41)),"",_xll.PITimeDat(Data_mbcb!J$31,Data_mbcb!$G41,"pi_server","interpolated"))</f>
        <v/>
      </c>
      <c r="K41" s="157" t="str">
        <f>IF(OR($G41="",$G41=" ",ISTEXT($G41)),"",_xll.PITimeDat(Data_mbcb!K$31,Data_mbcb!$G41,"pi_server","interpolated"))</f>
        <v/>
      </c>
      <c r="L41" s="157" t="str">
        <f t="shared" si="79"/>
        <v/>
      </c>
      <c r="M41" s="157" t="str">
        <f>IF(OR($G41="",$G41=" ",ISTEXT($G41)),"",_xll.PITimeDat(Data_mbcb!M$31,Data_mbcb!$G41,"pi_server","interpolated"))</f>
        <v/>
      </c>
      <c r="N41" s="157" t="str">
        <f>IF(OR($G41="",$G41=" ",ISTEXT($G41)),"",_xll.PITimeDat(Data_mbcb!N$31,Data_mbcb!$G41,"pi_server","interpolated"))</f>
        <v/>
      </c>
      <c r="O41" s="157" t="str">
        <f t="shared" si="80"/>
        <v/>
      </c>
      <c r="P41" s="157" t="str">
        <f>IF(OR($G41="",$G41=" ",ISTEXT($G41)),"",_xll.PITimeDat(Data_mbcb!P$31,Data_mbcb!$G41,"pi_server","interpolated"))</f>
        <v/>
      </c>
      <c r="Q41" s="157" t="str">
        <f>IF(OR($G41="",$G41=" ",ISTEXT($G41)),"",_xll.PITimeDat(Data_mbcb!Q$31,Data_mbcb!$G41,"pi_server","interpolated"))</f>
        <v/>
      </c>
      <c r="R41" s="157" t="str">
        <f>IF(OR($G41="",$G41=" ",ISTEXT($G41)),"",_xll.PITimeDat(Data_mbcb!R$31,Data_mbcb!$G41,"pi_server","interpolated"))</f>
        <v/>
      </c>
      <c r="S41" s="157" t="str">
        <f>IF(OR($G41="",$G41=" ",ISTEXT($G41)),"",_xll.PITimeDat(Data_mbcb!S$31,Data_mbcb!$G41,"pi_server","interpolated"))</f>
        <v/>
      </c>
      <c r="T41" s="157" t="str">
        <f>IF(OR($G41="",$G41=" ",ISTEXT($G41)),"",_xll.PITimeDat(Data_mbcb!T$31,Data_mbcb!$G41,"pi_server","interpolated"))</f>
        <v/>
      </c>
      <c r="U41" s="123" t="str">
        <f>IF(ISTEXT(_xll.PIArcVal(Data!T$32,Data!$G41,0,"PI_SERVER","interpolated")),"",_xll.PIArcVal(Data!T$32,Data!$G41,0,"PI_SERVER","interpolated"))</f>
        <v/>
      </c>
      <c r="V41" s="157" t="str">
        <f>IF(OR($G41="",$G41=" ",ISTEXT($G41)),"",_xll.PITimeDat(Data_mbcb!V$31,Data_mbcb!$G41,"pi_server","interpolated"))</f>
        <v/>
      </c>
      <c r="W41" s="157" t="str">
        <f>IF(OR($G41="",$G41=" ",ISTEXT($G41)),"",_xll.PITimeDat(Data_mbcb!W$31,Data_mbcb!$G41,"pi_server","interpolated"))</f>
        <v/>
      </c>
      <c r="X41" s="157" t="str">
        <f>IF(OR($G41="",$G41=" ",ISTEXT($G41)),"",_xll.PITimeDat(Data_mbcb!X$31,Data_mbcb!$G41,"pi_server","interpolated"))</f>
        <v/>
      </c>
      <c r="Y41" s="157" t="str">
        <f>IF(OR($G41="",$G41=" ",ISTEXT($G41)),"",_xll.PITimeDat(Data_mbcb!Y$31,Data_mbcb!$G41,"pi_server","interpolated"))</f>
        <v/>
      </c>
      <c r="Z41" s="157" t="str">
        <f>IF(OR($G41="",$G41=" ",ISTEXT($G41)),"",_xll.PITimeDat(Data_mbcb!Z$31,Data_mbcb!$G41,"pi_server","interpolated"))</f>
        <v/>
      </c>
      <c r="AA41" s="157" t="str">
        <f>IF(OR($G41="",$G41=" ",ISTEXT($G41)),"",_xll.PITimeDat(Data_mbcb!AA$31,Data_mbcb!$G41,"pi_server","interpolated"))</f>
        <v/>
      </c>
      <c r="AB41" s="157" t="str">
        <f>IF(OR($G41="",$G41=" ",ISTEXT($G41)),"",_xll.PITimeDat(Data_mbcb!AB$31,Data_mbcb!$G41,"pi_server","interpolated"))</f>
        <v/>
      </c>
      <c r="AC41" s="157" t="str">
        <f>IF(OR($G41="",$G41=" ",ISTEXT($G41)),"",_xll.PITimeDat(Data_mbcb!AC$31,Data_mbcb!$G41,"pi_server","interpolated"))</f>
        <v/>
      </c>
      <c r="AD41" s="157" t="str">
        <f>IF(OR($G41="",$G41=" ",ISTEXT($G41)),"",_xll.PITimeDat(Data_mbcb!AD$31,Data_mbcb!$G41,"pi_server","interpolated"))</f>
        <v/>
      </c>
      <c r="AE41" s="157" t="str">
        <f>IF(OR($G41="",$G41=" ",ISTEXT($G41)),"",_xll.PITimeDat(Data_mbcb!AE$31,Data_mbcb!$G41,"pi_server","interpolated"))</f>
        <v/>
      </c>
      <c r="AF41" s="157" t="str">
        <f>IF(OR($G41="",$G41=" ",ISTEXT($G41)),"",_xll.PITimeDat(Data_mbcb!AF$31,Data_mbcb!$G41,"pi_server","interpolated"))</f>
        <v/>
      </c>
      <c r="AG41" s="157" t="str">
        <f>IF(OR($G41="",$G41=" ",ISTEXT($G41)),"",_xll.PITimeDat(Data_mbcb!AG$31,Data_mbcb!$G41,"pi_server","interpolated"))</f>
        <v/>
      </c>
      <c r="AH41" s="157" t="str">
        <f>IF(OR($G41="",$G41=" ",ISTEXT($G41)),"",_xll.PITimeDat(Data_mbcb!AH$31,Data_mbcb!$G41,"pi_server","interpolated"))</f>
        <v/>
      </c>
      <c r="AI41" s="157" t="str">
        <f>IF(OR($G41="",$G41=" ",ISTEXT($G41)),"",_xll.PITimeDat(Data_mbcb!AI$31,Data_mbcb!$G41,"pi_server","interpolated"))</f>
        <v/>
      </c>
      <c r="AJ41" s="157" t="str">
        <f>IF(OR($G41="",$G41=" ",ISTEXT($G41)),"",_xll.PITimeDat(Data_mbcb!AJ$31,Data_mbcb!$G41,"pi_server","interpolated"))</f>
        <v/>
      </c>
      <c r="AK41" s="157" t="str">
        <f>IF(OR($G41="",$G41=" ",ISTEXT($G41)),"",_xll.PITimeDat(Data_mbcb!AK$31,Data_mbcb!$G41,"pi_server","interpolated"))</f>
        <v/>
      </c>
      <c r="AL41" s="157" t="str">
        <f>IF(OR($G41="",$G41=" ",ISTEXT($G41)),"",_xll.PITimeDat(Data_mbcb!AL$31,Data_mbcb!$G41,"pi_server","interpolated"))</f>
        <v/>
      </c>
      <c r="AM41" s="66" t="str">
        <f>IF(ISTEXT(_xll.PIArcVal(Data!AK$32,Data!$G41,0,"PI_SERVER","interpolated")),"",_xll.PIArcVal(Data!AK$32,Data!$G41,0,"PI_SERVER","interpolated"))</f>
        <v/>
      </c>
      <c r="AN41" s="157" t="str">
        <f>IF(OR($G41="",$G41=" ",ISTEXT($G41)),"",_xll.PITimeDat(Data_mbcb!AN$31,Data_mbcb!$G41,"pi_server","interpolated"))</f>
        <v/>
      </c>
      <c r="AO41" s="157" t="str">
        <f>IF(OR($G41="",$G41=" ",ISTEXT($G41)),"",_xll.PITimeDat(Data_mbcb!AO$31,Data_mbcb!$G41,"pi_server","interpolated"))</f>
        <v/>
      </c>
      <c r="AP41" s="157" t="str">
        <f>IF(OR($G41="",$G41=" ",ISTEXT($G41)),"",_xll.PITimeDat(Data_mbcb!AP$31,Data_mbcb!$G41,"pi_server","interpolated"))</f>
        <v/>
      </c>
      <c r="AQ41" s="157" t="str">
        <f>IF(OR($G41="",$G41=" ",ISTEXT($G41)),"",_xll.PITimeDat(Data_mbcb!AQ$31,Data_mbcb!$G41,"pi_server","interpolated"))</f>
        <v/>
      </c>
      <c r="AR41" s="157" t="str">
        <f>IF(OR($G41="",$G41=" ",ISTEXT($G41)),"",_xll.PITimeDat(Data_mbcb!AR$31,Data_mbcb!$G41,"pi_server","interpolated"))</f>
        <v/>
      </c>
      <c r="AS41" s="69">
        <f t="shared" si="89"/>
        <v>0</v>
      </c>
      <c r="AT41" s="18"/>
      <c r="AU41" s="18"/>
      <c r="AV41" s="18"/>
      <c r="AW41" s="6"/>
      <c r="AX41" s="3">
        <f t="shared" si="18"/>
        <v>0</v>
      </c>
      <c r="AY41" s="19" t="s">
        <v>138</v>
      </c>
      <c r="AZ41" s="9">
        <v>27</v>
      </c>
      <c r="BA41" s="17" t="str">
        <f t="shared" si="11"/>
        <v/>
      </c>
      <c r="BB41" s="89" t="s">
        <v>110</v>
      </c>
      <c r="BC41" s="20">
        <v>7</v>
      </c>
      <c r="BD41" s="158" t="str">
        <f t="shared" si="81"/>
        <v/>
      </c>
      <c r="BE41" s="159" t="str">
        <f t="shared" si="82"/>
        <v/>
      </c>
      <c r="BF41" s="159" t="str">
        <f t="shared" si="83"/>
        <v/>
      </c>
      <c r="BG41" s="159" t="str">
        <f t="shared" si="90"/>
        <v/>
      </c>
      <c r="BH41" s="159" t="str">
        <f t="shared" si="91"/>
        <v/>
      </c>
      <c r="BI41" s="159" t="str">
        <f t="shared" si="92"/>
        <v/>
      </c>
      <c r="BJ41" s="159" t="str">
        <f t="shared" si="93"/>
        <v/>
      </c>
      <c r="BK41" s="159" t="str">
        <f t="shared" si="94"/>
        <v/>
      </c>
      <c r="BL41" s="159" t="str">
        <f t="shared" si="95"/>
        <v/>
      </c>
      <c r="BM41" s="159" t="str">
        <f t="shared" si="96"/>
        <v/>
      </c>
      <c r="BN41" s="159" t="str">
        <f t="shared" si="97"/>
        <v/>
      </c>
      <c r="BO41" s="159" t="str">
        <f t="shared" si="98"/>
        <v/>
      </c>
      <c r="BP41" s="159" t="str">
        <f t="shared" si="99"/>
        <v/>
      </c>
      <c r="BQ41" s="159" t="str">
        <f t="shared" si="100"/>
        <v/>
      </c>
      <c r="BR41" s="159" t="str">
        <f t="shared" si="85"/>
        <v/>
      </c>
      <c r="BS41" s="159" t="str">
        <f t="shared" si="78"/>
        <v/>
      </c>
      <c r="BT41" s="159" t="str">
        <f t="shared" si="78"/>
        <v/>
      </c>
      <c r="BU41" s="159" t="str">
        <f t="shared" si="78"/>
        <v/>
      </c>
      <c r="BV41" s="159" t="str">
        <f t="shared" si="78"/>
        <v/>
      </c>
      <c r="BW41" s="159" t="str">
        <f t="shared" si="78"/>
        <v/>
      </c>
      <c r="BX41" s="159" t="str">
        <f t="shared" si="78"/>
        <v/>
      </c>
      <c r="BY41" s="159" t="str">
        <f t="shared" si="78"/>
        <v/>
      </c>
      <c r="BZ41" s="159" t="str">
        <f t="shared" si="78"/>
        <v/>
      </c>
      <c r="CA41" s="159" t="str">
        <f t="shared" si="78"/>
        <v/>
      </c>
      <c r="CB41" s="159" t="str">
        <f t="shared" si="78"/>
        <v/>
      </c>
      <c r="CC41" s="159" t="str">
        <f t="shared" si="78"/>
        <v/>
      </c>
      <c r="CD41" s="159" t="str">
        <f t="shared" si="78"/>
        <v/>
      </c>
      <c r="CE41" s="159" t="str">
        <f t="shared" si="78"/>
        <v/>
      </c>
      <c r="CF41" s="159" t="str">
        <f t="shared" si="78"/>
        <v/>
      </c>
      <c r="CG41" s="159" t="str">
        <f t="shared" si="78"/>
        <v/>
      </c>
      <c r="CH41" s="159"/>
      <c r="CI41" s="252" t="str">
        <f t="shared" si="86"/>
        <v/>
      </c>
      <c r="CJ41" s="252" t="str">
        <f t="shared" si="87"/>
        <v/>
      </c>
      <c r="CK41" s="160" t="str">
        <f t="shared" si="101"/>
        <v/>
      </c>
      <c r="CL41" s="241" t="str">
        <f t="shared" si="88"/>
        <v/>
      </c>
    </row>
    <row r="42" spans="6:90" ht="20.25" x14ac:dyDescent="0.25">
      <c r="F42" s="3">
        <v>8</v>
      </c>
      <c r="G42" s="64"/>
      <c r="H42" s="65"/>
      <c r="I42" s="157" t="str">
        <f>IF(OR($G42="",$G42=" ",ISTEXT($G42)),"",_xll.PITimeDat(Data_mbcb!I$31,Data_mbcb!$G42,"pi_server","interpolated"))</f>
        <v/>
      </c>
      <c r="J42" s="157" t="str">
        <f>IF(OR($G42="",$G42=" ",ISTEXT($G42)),"",_xll.PITimeDat(Data_mbcb!J$31,Data_mbcb!$G42,"pi_server","interpolated"))</f>
        <v/>
      </c>
      <c r="K42" s="157" t="str">
        <f>IF(OR($G42="",$G42=" ",ISTEXT($G42)),"",_xll.PITimeDat(Data_mbcb!K$31,Data_mbcb!$G42,"pi_server","interpolated"))</f>
        <v/>
      </c>
      <c r="L42" s="157" t="str">
        <f t="shared" si="79"/>
        <v/>
      </c>
      <c r="M42" s="157" t="str">
        <f>IF(OR($G42="",$G42=" ",ISTEXT($G42)),"",_xll.PITimeDat(Data_mbcb!M$31,Data_mbcb!$G42,"pi_server","interpolated"))</f>
        <v/>
      </c>
      <c r="N42" s="157" t="str">
        <f>IF(OR($G42="",$G42=" ",ISTEXT($G42)),"",_xll.PITimeDat(Data_mbcb!N$31,Data_mbcb!$G42,"pi_server","interpolated"))</f>
        <v/>
      </c>
      <c r="O42" s="157" t="str">
        <f t="shared" si="80"/>
        <v/>
      </c>
      <c r="P42" s="157" t="str">
        <f>IF(OR($G42="",$G42=" ",ISTEXT($G42)),"",_xll.PITimeDat(Data_mbcb!P$31,Data_mbcb!$G42,"pi_server","interpolated"))</f>
        <v/>
      </c>
      <c r="Q42" s="157" t="str">
        <f>IF(OR($G42="",$G42=" ",ISTEXT($G42)),"",_xll.PITimeDat(Data_mbcb!Q$31,Data_mbcb!$G42,"pi_server","interpolated"))</f>
        <v/>
      </c>
      <c r="R42" s="157" t="str">
        <f>IF(OR($G42="",$G42=" ",ISTEXT($G42)),"",_xll.PITimeDat(Data_mbcb!R$31,Data_mbcb!$G42,"pi_server","interpolated"))</f>
        <v/>
      </c>
      <c r="S42" s="157" t="str">
        <f>IF(OR($G42="",$G42=" ",ISTEXT($G42)),"",_xll.PITimeDat(Data_mbcb!S$31,Data_mbcb!$G42,"pi_server","interpolated"))</f>
        <v/>
      </c>
      <c r="T42" s="157" t="str">
        <f>IF(OR($G42="",$G42=" ",ISTEXT($G42)),"",_xll.PITimeDat(Data_mbcb!T$31,Data_mbcb!$G42,"pi_server","interpolated"))</f>
        <v/>
      </c>
      <c r="U42" s="123" t="str">
        <f>IF(ISTEXT(_xll.PIArcVal(Data!T$32,Data!$G42,0,"PI_SERVER","interpolated")),"",_xll.PIArcVal(Data!T$32,Data!$G42,0,"PI_SERVER","interpolated"))</f>
        <v/>
      </c>
      <c r="V42" s="157" t="str">
        <f>IF(OR($G42="",$G42=" ",ISTEXT($G42)),"",_xll.PITimeDat(Data_mbcb!V$31,Data_mbcb!$G42,"pi_server","interpolated"))</f>
        <v/>
      </c>
      <c r="W42" s="157" t="str">
        <f>IF(OR($G42="",$G42=" ",ISTEXT($G42)),"",_xll.PITimeDat(Data_mbcb!W$31,Data_mbcb!$G42,"pi_server","interpolated"))</f>
        <v/>
      </c>
      <c r="X42" s="157" t="str">
        <f>IF(OR($G42="",$G42=" ",ISTEXT($G42)),"",_xll.PITimeDat(Data_mbcb!X$31,Data_mbcb!$G42,"pi_server","interpolated"))</f>
        <v/>
      </c>
      <c r="Y42" s="157" t="str">
        <f>IF(OR($G42="",$G42=" ",ISTEXT($G42)),"",_xll.PITimeDat(Data_mbcb!Y$31,Data_mbcb!$G42,"pi_server","interpolated"))</f>
        <v/>
      </c>
      <c r="Z42" s="157" t="str">
        <f>IF(OR($G42="",$G42=" ",ISTEXT($G42)),"",_xll.PITimeDat(Data_mbcb!Z$31,Data_mbcb!$G42,"pi_server","interpolated"))</f>
        <v/>
      </c>
      <c r="AA42" s="157" t="str">
        <f>IF(OR($G42="",$G42=" ",ISTEXT($G42)),"",_xll.PITimeDat(Data_mbcb!AA$31,Data_mbcb!$G42,"pi_server","interpolated"))</f>
        <v/>
      </c>
      <c r="AB42" s="157" t="str">
        <f>IF(OR($G42="",$G42=" ",ISTEXT($G42)),"",_xll.PITimeDat(Data_mbcb!AB$31,Data_mbcb!$G42,"pi_server","interpolated"))</f>
        <v/>
      </c>
      <c r="AC42" s="157" t="str">
        <f>IF(OR($G42="",$G42=" ",ISTEXT($G42)),"",_xll.PITimeDat(Data_mbcb!AC$31,Data_mbcb!$G42,"pi_server","interpolated"))</f>
        <v/>
      </c>
      <c r="AD42" s="157" t="str">
        <f>IF(OR($G42="",$G42=" ",ISTEXT($G42)),"",_xll.PITimeDat(Data_mbcb!AD$31,Data_mbcb!$G42,"pi_server","interpolated"))</f>
        <v/>
      </c>
      <c r="AE42" s="157" t="str">
        <f>IF(OR($G42="",$G42=" ",ISTEXT($G42)),"",_xll.PITimeDat(Data_mbcb!AE$31,Data_mbcb!$G42,"pi_server","interpolated"))</f>
        <v/>
      </c>
      <c r="AF42" s="157" t="str">
        <f>IF(OR($G42="",$G42=" ",ISTEXT($G42)),"",_xll.PITimeDat(Data_mbcb!AF$31,Data_mbcb!$G42,"pi_server","interpolated"))</f>
        <v/>
      </c>
      <c r="AG42" s="157" t="str">
        <f>IF(OR($G42="",$G42=" ",ISTEXT($G42)),"",_xll.PITimeDat(Data_mbcb!AG$31,Data_mbcb!$G42,"pi_server","interpolated"))</f>
        <v/>
      </c>
      <c r="AH42" s="157" t="str">
        <f>IF(OR($G42="",$G42=" ",ISTEXT($G42)),"",_xll.PITimeDat(Data_mbcb!AH$31,Data_mbcb!$G42,"pi_server","interpolated"))</f>
        <v/>
      </c>
      <c r="AI42" s="157" t="str">
        <f>IF(OR($G42="",$G42=" ",ISTEXT($G42)),"",_xll.PITimeDat(Data_mbcb!AI$31,Data_mbcb!$G42,"pi_server","interpolated"))</f>
        <v/>
      </c>
      <c r="AJ42" s="157" t="str">
        <f>IF(OR($G42="",$G42=" ",ISTEXT($G42)),"",_xll.PITimeDat(Data_mbcb!AJ$31,Data_mbcb!$G42,"pi_server","interpolated"))</f>
        <v/>
      </c>
      <c r="AK42" s="157" t="str">
        <f>IF(OR($G42="",$G42=" ",ISTEXT($G42)),"",_xll.PITimeDat(Data_mbcb!AK$31,Data_mbcb!$G42,"pi_server","interpolated"))</f>
        <v/>
      </c>
      <c r="AL42" s="157" t="str">
        <f>IF(OR($G42="",$G42=" ",ISTEXT($G42)),"",_xll.PITimeDat(Data_mbcb!AL$31,Data_mbcb!$G42,"pi_server","interpolated"))</f>
        <v/>
      </c>
      <c r="AM42" s="66" t="str">
        <f>IF(ISTEXT(_xll.PIArcVal(Data!AK$32,Data!$G42,0,"PI_SERVER","interpolated")),"",_xll.PIArcVal(Data!AK$32,Data!$G42,0,"PI_SERVER","interpolated"))</f>
        <v/>
      </c>
      <c r="AN42" s="157" t="str">
        <f>IF(OR($G42="",$G42=" ",ISTEXT($G42)),"",_xll.PITimeDat(Data_mbcb!AN$31,Data_mbcb!$G42,"pi_server","interpolated"))</f>
        <v/>
      </c>
      <c r="AO42" s="157" t="str">
        <f>IF(OR($G42="",$G42=" ",ISTEXT($G42)),"",_xll.PITimeDat(Data_mbcb!AO$31,Data_mbcb!$G42,"pi_server","interpolated"))</f>
        <v/>
      </c>
      <c r="AP42" s="157" t="str">
        <f>IF(OR($G42="",$G42=" ",ISTEXT($G42)),"",_xll.PITimeDat(Data_mbcb!AP$31,Data_mbcb!$G42,"pi_server","interpolated"))</f>
        <v/>
      </c>
      <c r="AQ42" s="157" t="str">
        <f>IF(OR($G42="",$G42=" ",ISTEXT($G42)),"",_xll.PITimeDat(Data_mbcb!AQ$31,Data_mbcb!$G42,"pi_server","interpolated"))</f>
        <v/>
      </c>
      <c r="AR42" s="157" t="str">
        <f>IF(OR($G42="",$G42=" ",ISTEXT($G42)),"",_xll.PITimeDat(Data_mbcb!AR$31,Data_mbcb!$G42,"pi_server","interpolated"))</f>
        <v/>
      </c>
      <c r="AS42" s="69">
        <f t="shared" si="89"/>
        <v>0</v>
      </c>
      <c r="AT42" s="18"/>
      <c r="AU42" s="18"/>
      <c r="AV42" s="18"/>
      <c r="AW42" s="6"/>
      <c r="AX42" s="3">
        <f t="shared" si="18"/>
        <v>0</v>
      </c>
      <c r="AY42" s="19" t="s">
        <v>139</v>
      </c>
      <c r="AZ42" s="9">
        <v>28</v>
      </c>
      <c r="BA42" s="17" t="str">
        <f t="shared" si="11"/>
        <v/>
      </c>
      <c r="BB42" s="89" t="s">
        <v>110</v>
      </c>
      <c r="BC42" s="20">
        <v>8</v>
      </c>
      <c r="BD42" s="158" t="str">
        <f t="shared" si="81"/>
        <v/>
      </c>
      <c r="BE42" s="159" t="str">
        <f t="shared" si="82"/>
        <v/>
      </c>
      <c r="BF42" s="159" t="str">
        <f t="shared" si="83"/>
        <v/>
      </c>
      <c r="BG42" s="159" t="str">
        <f t="shared" si="90"/>
        <v/>
      </c>
      <c r="BH42" s="159" t="str">
        <f t="shared" si="91"/>
        <v/>
      </c>
      <c r="BI42" s="159" t="str">
        <f t="shared" si="92"/>
        <v/>
      </c>
      <c r="BJ42" s="159" t="str">
        <f t="shared" si="93"/>
        <v/>
      </c>
      <c r="BK42" s="159" t="str">
        <f t="shared" si="94"/>
        <v/>
      </c>
      <c r="BL42" s="159" t="str">
        <f t="shared" si="95"/>
        <v/>
      </c>
      <c r="BM42" s="159" t="str">
        <f t="shared" si="96"/>
        <v/>
      </c>
      <c r="BN42" s="159" t="str">
        <f t="shared" si="97"/>
        <v/>
      </c>
      <c r="BO42" s="159" t="str">
        <f t="shared" si="98"/>
        <v/>
      </c>
      <c r="BP42" s="159" t="str">
        <f t="shared" si="99"/>
        <v/>
      </c>
      <c r="BQ42" s="159" t="str">
        <f t="shared" si="100"/>
        <v/>
      </c>
      <c r="BR42" s="159" t="str">
        <f t="shared" si="85"/>
        <v/>
      </c>
      <c r="BS42" s="159" t="str">
        <f t="shared" si="78"/>
        <v/>
      </c>
      <c r="BT42" s="159" t="str">
        <f t="shared" si="78"/>
        <v/>
      </c>
      <c r="BU42" s="159" t="str">
        <f t="shared" si="78"/>
        <v/>
      </c>
      <c r="BV42" s="159" t="str">
        <f t="shared" si="78"/>
        <v/>
      </c>
      <c r="BW42" s="159" t="str">
        <f t="shared" si="78"/>
        <v/>
      </c>
      <c r="BX42" s="159" t="str">
        <f t="shared" si="78"/>
        <v/>
      </c>
      <c r="BY42" s="159" t="str">
        <f t="shared" si="78"/>
        <v/>
      </c>
      <c r="BZ42" s="159" t="str">
        <f t="shared" si="78"/>
        <v/>
      </c>
      <c r="CA42" s="159" t="str">
        <f t="shared" si="78"/>
        <v/>
      </c>
      <c r="CB42" s="159" t="str">
        <f t="shared" si="78"/>
        <v/>
      </c>
      <c r="CC42" s="159" t="str">
        <f t="shared" si="78"/>
        <v/>
      </c>
      <c r="CD42" s="159" t="str">
        <f t="shared" si="78"/>
        <v/>
      </c>
      <c r="CE42" s="159" t="str">
        <f t="shared" si="78"/>
        <v/>
      </c>
      <c r="CF42" s="159" t="str">
        <f t="shared" si="78"/>
        <v/>
      </c>
      <c r="CG42" s="159" t="str">
        <f t="shared" si="78"/>
        <v/>
      </c>
      <c r="CH42" s="159"/>
      <c r="CI42" s="252" t="str">
        <f t="shared" si="86"/>
        <v/>
      </c>
      <c r="CJ42" s="252" t="str">
        <f t="shared" si="87"/>
        <v/>
      </c>
      <c r="CK42" s="160" t="str">
        <f t="shared" si="101"/>
        <v/>
      </c>
      <c r="CL42" s="241" t="str">
        <f t="shared" si="88"/>
        <v/>
      </c>
    </row>
    <row r="43" spans="6:90" ht="20.25" x14ac:dyDescent="0.25">
      <c r="F43" s="3">
        <v>9</v>
      </c>
      <c r="G43" s="64"/>
      <c r="H43" s="65"/>
      <c r="I43" s="157" t="str">
        <f>IF(OR($G43="",$G43=" ",ISTEXT($G43)),"",_xll.PITimeDat(Data_mbcb!I$31,Data_mbcb!$G43,"pi_server","interpolated"))</f>
        <v/>
      </c>
      <c r="J43" s="157" t="str">
        <f>IF(OR($G43="",$G43=" ",ISTEXT($G43)),"",_xll.PITimeDat(Data_mbcb!J$31,Data_mbcb!$G43,"pi_server","interpolated"))</f>
        <v/>
      </c>
      <c r="K43" s="157" t="str">
        <f>IF(OR($G43="",$G43=" ",ISTEXT($G43)),"",_xll.PITimeDat(Data_mbcb!K$31,Data_mbcb!$G43,"pi_server","interpolated"))</f>
        <v/>
      </c>
      <c r="L43" s="157" t="str">
        <f t="shared" si="79"/>
        <v/>
      </c>
      <c r="M43" s="157" t="str">
        <f>IF(OR($G43="",$G43=" ",ISTEXT($G43)),"",_xll.PITimeDat(Data_mbcb!M$31,Data_mbcb!$G43,"pi_server","interpolated"))</f>
        <v/>
      </c>
      <c r="N43" s="157" t="str">
        <f>IF(OR($G43="",$G43=" ",ISTEXT($G43)),"",_xll.PITimeDat(Data_mbcb!N$31,Data_mbcb!$G43,"pi_server","interpolated"))</f>
        <v/>
      </c>
      <c r="O43" s="157" t="str">
        <f t="shared" si="80"/>
        <v/>
      </c>
      <c r="P43" s="157" t="str">
        <f>IF(OR($G43="",$G43=" ",ISTEXT($G43)),"",_xll.PITimeDat(Data_mbcb!P$31,Data_mbcb!$G43,"pi_server","interpolated"))</f>
        <v/>
      </c>
      <c r="Q43" s="157" t="str">
        <f>IF(OR($G43="",$G43=" ",ISTEXT($G43)),"",_xll.PITimeDat(Data_mbcb!Q$31,Data_mbcb!$G43,"pi_server","interpolated"))</f>
        <v/>
      </c>
      <c r="R43" s="157" t="str">
        <f>IF(OR($G43="",$G43=" ",ISTEXT($G43)),"",_xll.PITimeDat(Data_mbcb!R$31,Data_mbcb!$G43,"pi_server","interpolated"))</f>
        <v/>
      </c>
      <c r="S43" s="157" t="str">
        <f>IF(OR($G43="",$G43=" ",ISTEXT($G43)),"",_xll.PITimeDat(Data_mbcb!S$31,Data_mbcb!$G43,"pi_server","interpolated"))</f>
        <v/>
      </c>
      <c r="T43" s="157" t="str">
        <f>IF(OR($G43="",$G43=" ",ISTEXT($G43)),"",_xll.PITimeDat(Data_mbcb!T$31,Data_mbcb!$G43,"pi_server","interpolated"))</f>
        <v/>
      </c>
      <c r="U43" s="123" t="str">
        <f>IF(ISTEXT(_xll.PIArcVal(Data!T$32,Data!$G43,0,"PI_SERVER","interpolated")),"",_xll.PIArcVal(Data!T$32,Data!$G43,0,"PI_SERVER","interpolated"))</f>
        <v/>
      </c>
      <c r="V43" s="157" t="str">
        <f>IF(OR($G43="",$G43=" ",ISTEXT($G43)),"",_xll.PITimeDat(Data_mbcb!V$31,Data_mbcb!$G43,"pi_server","interpolated"))</f>
        <v/>
      </c>
      <c r="W43" s="157" t="str">
        <f>IF(OR($G43="",$G43=" ",ISTEXT($G43)),"",_xll.PITimeDat(Data_mbcb!W$31,Data_mbcb!$G43,"pi_server","interpolated"))</f>
        <v/>
      </c>
      <c r="X43" s="157" t="str">
        <f>IF(OR($G43="",$G43=" ",ISTEXT($G43)),"",_xll.PITimeDat(Data_mbcb!X$31,Data_mbcb!$G43,"pi_server","interpolated"))</f>
        <v/>
      </c>
      <c r="Y43" s="157" t="str">
        <f>IF(OR($G43="",$G43=" ",ISTEXT($G43)),"",_xll.PITimeDat(Data_mbcb!Y$31,Data_mbcb!$G43,"pi_server","interpolated"))</f>
        <v/>
      </c>
      <c r="Z43" s="157" t="str">
        <f>IF(OR($G43="",$G43=" ",ISTEXT($G43)),"",_xll.PITimeDat(Data_mbcb!Z$31,Data_mbcb!$G43,"pi_server","interpolated"))</f>
        <v/>
      </c>
      <c r="AA43" s="157" t="str">
        <f>IF(OR($G43="",$G43=" ",ISTEXT($G43)),"",_xll.PITimeDat(Data_mbcb!AA$31,Data_mbcb!$G43,"pi_server","interpolated"))</f>
        <v/>
      </c>
      <c r="AB43" s="157" t="str">
        <f>IF(OR($G43="",$G43=" ",ISTEXT($G43)),"",_xll.PITimeDat(Data_mbcb!AB$31,Data_mbcb!$G43,"pi_server","interpolated"))</f>
        <v/>
      </c>
      <c r="AC43" s="157" t="str">
        <f>IF(OR($G43="",$G43=" ",ISTEXT($G43)),"",_xll.PITimeDat(Data_mbcb!AC$31,Data_mbcb!$G43,"pi_server","interpolated"))</f>
        <v/>
      </c>
      <c r="AD43" s="157" t="str">
        <f>IF(OR($G43="",$G43=" ",ISTEXT($G43)),"",_xll.PITimeDat(Data_mbcb!AD$31,Data_mbcb!$G43,"pi_server","interpolated"))</f>
        <v/>
      </c>
      <c r="AE43" s="157" t="str">
        <f>IF(OR($G43="",$G43=" ",ISTEXT($G43)),"",_xll.PITimeDat(Data_mbcb!AE$31,Data_mbcb!$G43,"pi_server","interpolated"))</f>
        <v/>
      </c>
      <c r="AF43" s="157" t="str">
        <f>IF(OR($G43="",$G43=" ",ISTEXT($G43)),"",_xll.PITimeDat(Data_mbcb!AF$31,Data_mbcb!$G43,"pi_server","interpolated"))</f>
        <v/>
      </c>
      <c r="AG43" s="157" t="str">
        <f>IF(OR($G43="",$G43=" ",ISTEXT($G43)),"",_xll.PITimeDat(Data_mbcb!AG$31,Data_mbcb!$G43,"pi_server","interpolated"))</f>
        <v/>
      </c>
      <c r="AH43" s="157" t="str">
        <f>IF(OR($G43="",$G43=" ",ISTEXT($G43)),"",_xll.PITimeDat(Data_mbcb!AH$31,Data_mbcb!$G43,"pi_server","interpolated"))</f>
        <v/>
      </c>
      <c r="AI43" s="157" t="str">
        <f>IF(OR($G43="",$G43=" ",ISTEXT($G43)),"",_xll.PITimeDat(Data_mbcb!AI$31,Data_mbcb!$G43,"pi_server","interpolated"))</f>
        <v/>
      </c>
      <c r="AJ43" s="157" t="str">
        <f>IF(OR($G43="",$G43=" ",ISTEXT($G43)),"",_xll.PITimeDat(Data_mbcb!AJ$31,Data_mbcb!$G43,"pi_server","interpolated"))</f>
        <v/>
      </c>
      <c r="AK43" s="157" t="str">
        <f>IF(OR($G43="",$G43=" ",ISTEXT($G43)),"",_xll.PITimeDat(Data_mbcb!AK$31,Data_mbcb!$G43,"pi_server","interpolated"))</f>
        <v/>
      </c>
      <c r="AL43" s="157" t="str">
        <f>IF(OR($G43="",$G43=" ",ISTEXT($G43)),"",_xll.PITimeDat(Data_mbcb!AL$31,Data_mbcb!$G43,"pi_server","interpolated"))</f>
        <v/>
      </c>
      <c r="AM43" s="66" t="str">
        <f>IF(ISTEXT(_xll.PIArcVal(Data!AK$32,Data!$G43,0,"PI_SERVER","interpolated")),"",_xll.PIArcVal(Data!AK$32,Data!$G43,0,"PI_SERVER","interpolated"))</f>
        <v/>
      </c>
      <c r="AN43" s="157" t="str">
        <f>IF(OR($G43="",$G43=" ",ISTEXT($G43)),"",_xll.PITimeDat(Data_mbcb!AN$31,Data_mbcb!$G43,"pi_server","interpolated"))</f>
        <v/>
      </c>
      <c r="AO43" s="157" t="str">
        <f>IF(OR($G43="",$G43=" ",ISTEXT($G43)),"",_xll.PITimeDat(Data_mbcb!AO$31,Data_mbcb!$G43,"pi_server","interpolated"))</f>
        <v/>
      </c>
      <c r="AP43" s="157" t="str">
        <f>IF(OR($G43="",$G43=" ",ISTEXT($G43)),"",_xll.PITimeDat(Data_mbcb!AP$31,Data_mbcb!$G43,"pi_server","interpolated"))</f>
        <v/>
      </c>
      <c r="AQ43" s="157" t="str">
        <f>IF(OR($G43="",$G43=" ",ISTEXT($G43)),"",_xll.PITimeDat(Data_mbcb!AQ$31,Data_mbcb!$G43,"pi_server","interpolated"))</f>
        <v/>
      </c>
      <c r="AR43" s="157" t="str">
        <f>IF(OR($G43="",$G43=" ",ISTEXT($G43)),"",_xll.PITimeDat(Data_mbcb!AR$31,Data_mbcb!$G43,"pi_server","interpolated"))</f>
        <v/>
      </c>
      <c r="AS43" s="69">
        <f t="shared" si="89"/>
        <v>0</v>
      </c>
      <c r="AT43" s="18"/>
      <c r="AU43" s="18"/>
      <c r="AV43" s="18"/>
      <c r="AW43" s="6"/>
      <c r="AX43" s="3">
        <f t="shared" si="18"/>
        <v>0</v>
      </c>
      <c r="AY43" s="19" t="s">
        <v>140</v>
      </c>
      <c r="AZ43" s="9">
        <v>29</v>
      </c>
      <c r="BA43" s="17" t="str">
        <f t="shared" si="11"/>
        <v/>
      </c>
      <c r="BB43" s="89" t="s">
        <v>110</v>
      </c>
      <c r="BC43" s="20">
        <v>9</v>
      </c>
      <c r="BD43" s="158" t="str">
        <f t="shared" si="81"/>
        <v/>
      </c>
      <c r="BE43" s="159" t="str">
        <f t="shared" si="82"/>
        <v/>
      </c>
      <c r="BF43" s="159" t="str">
        <f t="shared" si="83"/>
        <v/>
      </c>
      <c r="BG43" s="159" t="str">
        <f t="shared" si="90"/>
        <v/>
      </c>
      <c r="BH43" s="159" t="str">
        <f t="shared" si="91"/>
        <v/>
      </c>
      <c r="BI43" s="159" t="str">
        <f t="shared" si="92"/>
        <v/>
      </c>
      <c r="BJ43" s="159" t="str">
        <f t="shared" si="93"/>
        <v/>
      </c>
      <c r="BK43" s="159" t="str">
        <f t="shared" si="94"/>
        <v/>
      </c>
      <c r="BL43" s="159" t="str">
        <f t="shared" si="95"/>
        <v/>
      </c>
      <c r="BM43" s="159" t="str">
        <f t="shared" si="96"/>
        <v/>
      </c>
      <c r="BN43" s="159" t="str">
        <f t="shared" si="97"/>
        <v/>
      </c>
      <c r="BO43" s="159" t="str">
        <f t="shared" si="98"/>
        <v/>
      </c>
      <c r="BP43" s="159" t="str">
        <f t="shared" si="99"/>
        <v/>
      </c>
      <c r="BQ43" s="159" t="str">
        <f t="shared" si="100"/>
        <v/>
      </c>
      <c r="BR43" s="159" t="str">
        <f t="shared" si="85"/>
        <v/>
      </c>
      <c r="BS43" s="159" t="str">
        <f t="shared" si="78"/>
        <v/>
      </c>
      <c r="BT43" s="159" t="str">
        <f t="shared" si="78"/>
        <v/>
      </c>
      <c r="BU43" s="159" t="str">
        <f t="shared" si="78"/>
        <v/>
      </c>
      <c r="BV43" s="159" t="str">
        <f t="shared" si="78"/>
        <v/>
      </c>
      <c r="BW43" s="159" t="str">
        <f t="shared" si="78"/>
        <v/>
      </c>
      <c r="BX43" s="159" t="str">
        <f t="shared" si="78"/>
        <v/>
      </c>
      <c r="BY43" s="159" t="str">
        <f t="shared" si="78"/>
        <v/>
      </c>
      <c r="BZ43" s="159" t="str">
        <f t="shared" si="78"/>
        <v/>
      </c>
      <c r="CA43" s="159" t="str">
        <f t="shared" si="78"/>
        <v/>
      </c>
      <c r="CB43" s="159" t="str">
        <f t="shared" si="78"/>
        <v/>
      </c>
      <c r="CC43" s="159" t="str">
        <f t="shared" si="78"/>
        <v/>
      </c>
      <c r="CD43" s="159" t="str">
        <f t="shared" si="78"/>
        <v/>
      </c>
      <c r="CE43" s="159" t="str">
        <f t="shared" si="78"/>
        <v/>
      </c>
      <c r="CF43" s="159" t="str">
        <f t="shared" si="78"/>
        <v/>
      </c>
      <c r="CG43" s="159" t="str">
        <f t="shared" si="78"/>
        <v/>
      </c>
      <c r="CH43" s="159"/>
      <c r="CI43" s="159" t="str">
        <f t="shared" si="86"/>
        <v/>
      </c>
      <c r="CJ43" s="159" t="str">
        <f t="shared" si="87"/>
        <v/>
      </c>
      <c r="CK43" s="160" t="str">
        <f t="shared" si="101"/>
        <v/>
      </c>
      <c r="CL43" s="241" t="str">
        <f t="shared" si="88"/>
        <v/>
      </c>
    </row>
    <row r="44" spans="6:90" ht="20.25" x14ac:dyDescent="0.25">
      <c r="F44" s="3">
        <v>10</v>
      </c>
      <c r="G44" s="64"/>
      <c r="H44" s="65"/>
      <c r="I44" s="157" t="str">
        <f>IF(OR($G44="",$G44=" ",ISTEXT($G44)),"",_xll.PITimeDat(Data_mbcb!I$31,Data_mbcb!$G44,"pi_server","interpolated"))</f>
        <v/>
      </c>
      <c r="J44" s="157" t="str">
        <f>IF(OR($G44="",$G44=" ",ISTEXT($G44)),"",_xll.PITimeDat(Data_mbcb!J$31,Data_mbcb!$G44,"pi_server","interpolated"))</f>
        <v/>
      </c>
      <c r="K44" s="157" t="str">
        <f>IF(OR($G44="",$G44=" ",ISTEXT($G44)),"",_xll.PITimeDat(Data_mbcb!K$31,Data_mbcb!$G44,"pi_server","interpolated"))</f>
        <v/>
      </c>
      <c r="L44" s="157" t="str">
        <f t="shared" si="79"/>
        <v/>
      </c>
      <c r="M44" s="157" t="str">
        <f>IF(OR($G44="",$G44=" ",ISTEXT($G44)),"",_xll.PITimeDat(Data_mbcb!M$31,Data_mbcb!$G44,"pi_server","interpolated"))</f>
        <v/>
      </c>
      <c r="N44" s="157" t="str">
        <f>IF(OR($G44="",$G44=" ",ISTEXT($G44)),"",_xll.PITimeDat(Data_mbcb!N$31,Data_mbcb!$G44,"pi_server","interpolated"))</f>
        <v/>
      </c>
      <c r="O44" s="157" t="str">
        <f t="shared" si="80"/>
        <v/>
      </c>
      <c r="P44" s="157" t="str">
        <f>IF(OR($G44="",$G44=" ",ISTEXT($G44)),"",_xll.PITimeDat(Data_mbcb!P$31,Data_mbcb!$G44,"pi_server","interpolated"))</f>
        <v/>
      </c>
      <c r="Q44" s="157" t="str">
        <f>IF(OR($G44="",$G44=" ",ISTEXT($G44)),"",_xll.PITimeDat(Data_mbcb!Q$31,Data_mbcb!$G44,"pi_server","interpolated"))</f>
        <v/>
      </c>
      <c r="R44" s="157" t="str">
        <f>IF(OR($G44="",$G44=" ",ISTEXT($G44)),"",_xll.PITimeDat(Data_mbcb!R$31,Data_mbcb!$G44,"pi_server","interpolated"))</f>
        <v/>
      </c>
      <c r="S44" s="157" t="str">
        <f>IF(OR($G44="",$G44=" ",ISTEXT($G44)),"",_xll.PITimeDat(Data_mbcb!S$31,Data_mbcb!$G44,"pi_server","interpolated"))</f>
        <v/>
      </c>
      <c r="T44" s="157" t="str">
        <f>IF(OR($G44="",$G44=" ",ISTEXT($G44)),"",_xll.PITimeDat(Data_mbcb!T$31,Data_mbcb!$G44,"pi_server","interpolated"))</f>
        <v/>
      </c>
      <c r="U44" s="123" t="str">
        <f>IF(ISTEXT(_xll.PIArcVal(Data!T$32,Data!$G44,0,"PI_SERVER","interpolated")),"",_xll.PIArcVal(Data!T$32,Data!$G44,0,"PI_SERVER","interpolated"))</f>
        <v/>
      </c>
      <c r="V44" s="157" t="str">
        <f>IF(OR($G44="",$G44=" ",ISTEXT($G44)),"",_xll.PITimeDat(Data_mbcb!V$31,Data_mbcb!$G44,"pi_server","interpolated"))</f>
        <v/>
      </c>
      <c r="W44" s="157" t="str">
        <f>IF(OR($G44="",$G44=" ",ISTEXT($G44)),"",_xll.PITimeDat(Data_mbcb!W$31,Data_mbcb!$G44,"pi_server","interpolated"))</f>
        <v/>
      </c>
      <c r="X44" s="157" t="str">
        <f>IF(OR($G44="",$G44=" ",ISTEXT($G44)),"",_xll.PITimeDat(Data_mbcb!X$31,Data_mbcb!$G44,"pi_server","interpolated"))</f>
        <v/>
      </c>
      <c r="Y44" s="157" t="str">
        <f>IF(OR($G44="",$G44=" ",ISTEXT($G44)),"",_xll.PITimeDat(Data_mbcb!Y$31,Data_mbcb!$G44,"pi_server","interpolated"))</f>
        <v/>
      </c>
      <c r="Z44" s="157" t="str">
        <f>IF(OR($G44="",$G44=" ",ISTEXT($G44)),"",_xll.PITimeDat(Data_mbcb!Z$31,Data_mbcb!$G44,"pi_server","interpolated"))</f>
        <v/>
      </c>
      <c r="AA44" s="157" t="str">
        <f>IF(OR($G44="",$G44=" ",ISTEXT($G44)),"",_xll.PITimeDat(Data_mbcb!AA$31,Data_mbcb!$G44,"pi_server","interpolated"))</f>
        <v/>
      </c>
      <c r="AB44" s="157" t="str">
        <f>IF(OR($G44="",$G44=" ",ISTEXT($G44)),"",_xll.PITimeDat(Data_mbcb!AB$31,Data_mbcb!$G44,"pi_server","interpolated"))</f>
        <v/>
      </c>
      <c r="AC44" s="157" t="str">
        <f>IF(OR($G44="",$G44=" ",ISTEXT($G44)),"",_xll.PITimeDat(Data_mbcb!AC$31,Data_mbcb!$G44,"pi_server","interpolated"))</f>
        <v/>
      </c>
      <c r="AD44" s="157" t="str">
        <f>IF(OR($G44="",$G44=" ",ISTEXT($G44)),"",_xll.PITimeDat(Data_mbcb!AD$31,Data_mbcb!$G44,"pi_server","interpolated"))</f>
        <v/>
      </c>
      <c r="AE44" s="157" t="str">
        <f>IF(OR($G44="",$G44=" ",ISTEXT($G44)),"",_xll.PITimeDat(Data_mbcb!AE$31,Data_mbcb!$G44,"pi_server","interpolated"))</f>
        <v/>
      </c>
      <c r="AF44" s="157" t="str">
        <f>IF(OR($G44="",$G44=" ",ISTEXT($G44)),"",_xll.PITimeDat(Data_mbcb!AF$31,Data_mbcb!$G44,"pi_server","interpolated"))</f>
        <v/>
      </c>
      <c r="AG44" s="157" t="str">
        <f>IF(OR($G44="",$G44=" ",ISTEXT($G44)),"",_xll.PITimeDat(Data_mbcb!AG$31,Data_mbcb!$G44,"pi_server","interpolated"))</f>
        <v/>
      </c>
      <c r="AH44" s="157" t="str">
        <f>IF(OR($G44="",$G44=" ",ISTEXT($G44)),"",_xll.PITimeDat(Data_mbcb!AH$31,Data_mbcb!$G44,"pi_server","interpolated"))</f>
        <v/>
      </c>
      <c r="AI44" s="157" t="str">
        <f>IF(OR($G44="",$G44=" ",ISTEXT($G44)),"",_xll.PITimeDat(Data_mbcb!AI$31,Data_mbcb!$G44,"pi_server","interpolated"))</f>
        <v/>
      </c>
      <c r="AJ44" s="157" t="str">
        <f>IF(OR($G44="",$G44=" ",ISTEXT($G44)),"",_xll.PITimeDat(Data_mbcb!AJ$31,Data_mbcb!$G44,"pi_server","interpolated"))</f>
        <v/>
      </c>
      <c r="AK44" s="157" t="str">
        <f>IF(OR($G44="",$G44=" ",ISTEXT($G44)),"",_xll.PITimeDat(Data_mbcb!AK$31,Data_mbcb!$G44,"pi_server","interpolated"))</f>
        <v/>
      </c>
      <c r="AL44" s="157" t="str">
        <f>IF(OR($G44="",$G44=" ",ISTEXT($G44)),"",_xll.PITimeDat(Data_mbcb!AL$31,Data_mbcb!$G44,"pi_server","interpolated"))</f>
        <v/>
      </c>
      <c r="AM44" s="66" t="str">
        <f>IF(ISTEXT(_xll.PIArcVal(Data!AK$32,Data!$G44,0,"PI_SERVER","interpolated")),"",_xll.PIArcVal(Data!AK$32,Data!$G44,0,"PI_SERVER","interpolated"))</f>
        <v/>
      </c>
      <c r="AN44" s="157" t="str">
        <f>IF(OR($G44="",$G44=" ",ISTEXT($G44)),"",_xll.PITimeDat(Data_mbcb!AN$31,Data_mbcb!$G44,"pi_server","interpolated"))</f>
        <v/>
      </c>
      <c r="AO44" s="157" t="str">
        <f>IF(OR($G44="",$G44=" ",ISTEXT($G44)),"",_xll.PITimeDat(Data_mbcb!AO$31,Data_mbcb!$G44,"pi_server","interpolated"))</f>
        <v/>
      </c>
      <c r="AP44" s="157" t="str">
        <f>IF(OR($G44="",$G44=" ",ISTEXT($G44)),"",_xll.PITimeDat(Data_mbcb!AP$31,Data_mbcb!$G44,"pi_server","interpolated"))</f>
        <v/>
      </c>
      <c r="AQ44" s="157" t="str">
        <f>IF(OR($G44="",$G44=" ",ISTEXT($G44)),"",_xll.PITimeDat(Data_mbcb!AQ$31,Data_mbcb!$G44,"pi_server","interpolated"))</f>
        <v/>
      </c>
      <c r="AR44" s="157" t="str">
        <f>IF(OR($G44="",$G44=" ",ISTEXT($G44)),"",_xll.PITimeDat(Data_mbcb!AR$31,Data_mbcb!$G44,"pi_server","interpolated"))</f>
        <v/>
      </c>
      <c r="AS44" s="69">
        <f t="shared" si="89"/>
        <v>0</v>
      </c>
      <c r="AT44" s="18"/>
      <c r="AU44" s="18"/>
      <c r="AV44" s="18"/>
      <c r="AW44" s="6"/>
      <c r="AX44" s="3">
        <f t="shared" si="18"/>
        <v>0</v>
      </c>
      <c r="AY44" s="19" t="s">
        <v>141</v>
      </c>
      <c r="AZ44" s="9">
        <v>30</v>
      </c>
      <c r="BA44" s="17" t="str">
        <f t="shared" si="11"/>
        <v/>
      </c>
      <c r="BB44" s="89" t="s">
        <v>110</v>
      </c>
      <c r="BC44" s="20">
        <v>10</v>
      </c>
      <c r="BD44" s="242" t="str">
        <f t="shared" si="81"/>
        <v/>
      </c>
      <c r="BE44" s="243" t="str">
        <f t="shared" si="82"/>
        <v/>
      </c>
      <c r="BF44" s="243" t="str">
        <f t="shared" si="83"/>
        <v/>
      </c>
      <c r="BG44" s="243" t="str">
        <f t="shared" si="90"/>
        <v/>
      </c>
      <c r="BH44" s="243" t="str">
        <f t="shared" si="91"/>
        <v/>
      </c>
      <c r="BI44" s="243" t="str">
        <f t="shared" si="92"/>
        <v/>
      </c>
      <c r="BJ44" s="243" t="str">
        <f t="shared" si="93"/>
        <v/>
      </c>
      <c r="BK44" s="243" t="str">
        <f t="shared" si="94"/>
        <v/>
      </c>
      <c r="BL44" s="243" t="str">
        <f t="shared" si="95"/>
        <v/>
      </c>
      <c r="BM44" s="243" t="str">
        <f t="shared" si="96"/>
        <v/>
      </c>
      <c r="BN44" s="243" t="str">
        <f t="shared" si="97"/>
        <v/>
      </c>
      <c r="BO44" s="243" t="str">
        <f t="shared" si="98"/>
        <v/>
      </c>
      <c r="BP44" s="243" t="str">
        <f t="shared" si="99"/>
        <v/>
      </c>
      <c r="BQ44" s="243" t="str">
        <f t="shared" si="100"/>
        <v/>
      </c>
      <c r="BR44" s="243" t="str">
        <f t="shared" si="85"/>
        <v/>
      </c>
      <c r="BS44" s="243" t="str">
        <f t="shared" si="78"/>
        <v/>
      </c>
      <c r="BT44" s="243" t="str">
        <f t="shared" si="78"/>
        <v/>
      </c>
      <c r="BU44" s="243" t="str">
        <f t="shared" si="78"/>
        <v/>
      </c>
      <c r="BV44" s="243" t="str">
        <f t="shared" si="78"/>
        <v/>
      </c>
      <c r="BW44" s="243" t="str">
        <f t="shared" si="78"/>
        <v/>
      </c>
      <c r="BX44" s="243" t="str">
        <f t="shared" si="78"/>
        <v/>
      </c>
      <c r="BY44" s="243" t="str">
        <f t="shared" si="78"/>
        <v/>
      </c>
      <c r="BZ44" s="243" t="str">
        <f t="shared" si="78"/>
        <v/>
      </c>
      <c r="CA44" s="243" t="str">
        <f t="shared" si="78"/>
        <v/>
      </c>
      <c r="CB44" s="243" t="str">
        <f t="shared" si="78"/>
        <v/>
      </c>
      <c r="CC44" s="243" t="str">
        <f t="shared" si="78"/>
        <v/>
      </c>
      <c r="CD44" s="243" t="str">
        <f t="shared" si="78"/>
        <v/>
      </c>
      <c r="CE44" s="243" t="str">
        <f t="shared" si="78"/>
        <v/>
      </c>
      <c r="CF44" s="243" t="str">
        <f t="shared" si="78"/>
        <v/>
      </c>
      <c r="CG44" s="243" t="str">
        <f t="shared" si="78"/>
        <v/>
      </c>
      <c r="CH44" s="243"/>
      <c r="CI44" s="243" t="str">
        <f t="shared" si="86"/>
        <v/>
      </c>
      <c r="CJ44" s="243" t="str">
        <f t="shared" si="87"/>
        <v/>
      </c>
      <c r="CK44" s="244" t="str">
        <f t="shared" si="101"/>
        <v/>
      </c>
      <c r="CL44" s="245" t="str">
        <f t="shared" si="88"/>
        <v/>
      </c>
    </row>
    <row r="45" spans="6:90" x14ac:dyDescent="0.25">
      <c r="F45" s="3"/>
      <c r="G45" s="14"/>
      <c r="H45" s="4"/>
      <c r="I45" s="4"/>
      <c r="J45" s="109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3"/>
      <c r="AK45" s="3"/>
      <c r="AL45" s="3"/>
      <c r="AM45" s="31" t="str">
        <f>IF(ISTEXT(_xll.PIArcVal(Data!AK$32,Data!$G45,0,"PI_SERVER","interpolated")),"",_xll.PIArcVal(Data!AK$32,Data!$G45,0,"PI_SERVER","interpolated"))</f>
        <v/>
      </c>
      <c r="AS45" s="69">
        <f t="shared" si="89"/>
        <v>0</v>
      </c>
      <c r="AT45" s="18"/>
      <c r="AU45" s="18"/>
      <c r="AV45" s="18"/>
      <c r="AW45" s="6"/>
      <c r="AX45" s="3">
        <f t="shared" si="18"/>
        <v>0</v>
      </c>
      <c r="AY45" s="19" t="s">
        <v>142</v>
      </c>
      <c r="AZ45" s="9">
        <v>31</v>
      </c>
      <c r="BA45" s="17" t="str">
        <f t="shared" si="11"/>
        <v/>
      </c>
      <c r="BB45" s="246" t="s">
        <v>111</v>
      </c>
      <c r="BC45" s="232">
        <v>1</v>
      </c>
      <c r="BD45" s="233" t="str">
        <f t="shared" ref="BD45:BQ54" si="102">IF(G86="","",G86)</f>
        <v>No more values:</v>
      </c>
      <c r="BE45" s="234" t="str">
        <f t="shared" si="102"/>
        <v>No more values:</v>
      </c>
      <c r="BF45" s="234" t="str">
        <f t="shared" si="102"/>
        <v/>
      </c>
      <c r="BG45" s="234" t="str">
        <f>IF(J86="","",J86)</f>
        <v/>
      </c>
      <c r="BH45" s="234" t="str">
        <f t="shared" si="102"/>
        <v/>
      </c>
      <c r="BI45" s="234" t="str">
        <f t="shared" si="102"/>
        <v/>
      </c>
      <c r="BJ45" s="234" t="str">
        <f t="shared" si="102"/>
        <v/>
      </c>
      <c r="BK45" s="234" t="str">
        <f t="shared" si="102"/>
        <v/>
      </c>
      <c r="BL45" s="234" t="str">
        <f t="shared" si="102"/>
        <v/>
      </c>
      <c r="BM45" s="234" t="str">
        <f t="shared" si="102"/>
        <v/>
      </c>
      <c r="BN45" s="234" t="str">
        <f t="shared" si="102"/>
        <v/>
      </c>
      <c r="BO45" s="234" t="str">
        <f t="shared" si="102"/>
        <v/>
      </c>
      <c r="BP45" s="234" t="str">
        <f t="shared" si="102"/>
        <v/>
      </c>
      <c r="BQ45" s="234" t="str">
        <f t="shared" si="102"/>
        <v/>
      </c>
      <c r="BR45" s="234" t="str">
        <f>IF(V86="","",V86)</f>
        <v/>
      </c>
      <c r="BS45" s="234" t="str">
        <f t="shared" ref="BS45:CH54" si="103">IF(W86="","",W86)</f>
        <v/>
      </c>
      <c r="BT45" s="234" t="str">
        <f t="shared" si="103"/>
        <v/>
      </c>
      <c r="BU45" s="234" t="str">
        <f t="shared" si="103"/>
        <v/>
      </c>
      <c r="BV45" s="234" t="str">
        <f t="shared" si="103"/>
        <v/>
      </c>
      <c r="BW45" s="234" t="str">
        <f t="shared" si="103"/>
        <v/>
      </c>
      <c r="BX45" s="234" t="str">
        <f t="shared" si="103"/>
        <v/>
      </c>
      <c r="BY45" s="234" t="str">
        <f t="shared" si="103"/>
        <v/>
      </c>
      <c r="BZ45" s="234" t="str">
        <f t="shared" si="103"/>
        <v/>
      </c>
      <c r="CA45" s="234" t="str">
        <f t="shared" si="103"/>
        <v/>
      </c>
      <c r="CB45" s="234" t="str">
        <f t="shared" si="103"/>
        <v/>
      </c>
      <c r="CC45" s="234" t="str">
        <f t="shared" si="103"/>
        <v/>
      </c>
      <c r="CD45" s="234" t="str">
        <f t="shared" si="103"/>
        <v/>
      </c>
      <c r="CE45" s="234" t="str">
        <f t="shared" si="103"/>
        <v/>
      </c>
      <c r="CF45" s="234" t="str">
        <f t="shared" si="103"/>
        <v/>
      </c>
      <c r="CG45" s="234" t="str">
        <f t="shared" si="103"/>
        <v/>
      </c>
      <c r="CH45" s="234" t="str">
        <f t="shared" si="103"/>
        <v/>
      </c>
      <c r="CI45" s="234" t="str">
        <f>IF(AO86="","",AO86)</f>
        <v/>
      </c>
      <c r="CJ45" s="234" t="str">
        <f>IF(AP86="","",AP86)</f>
        <v/>
      </c>
      <c r="CK45" s="235" t="str">
        <f>IF(AQ86="","",AQ86)</f>
        <v/>
      </c>
      <c r="CL45" s="234" t="str">
        <f>IF(AR86="","",AR86)</f>
        <v/>
      </c>
    </row>
    <row r="46" spans="6:90" x14ac:dyDescent="0.25">
      <c r="I46" s="189"/>
      <c r="J46" s="190"/>
      <c r="AS46" s="68"/>
      <c r="AT46" s="12"/>
      <c r="AU46" s="12"/>
      <c r="AV46" s="18"/>
      <c r="AW46" s="6"/>
      <c r="AX46" s="3">
        <f t="shared" si="18"/>
        <v>0</v>
      </c>
      <c r="AY46" s="19" t="s">
        <v>143</v>
      </c>
      <c r="AZ46" s="9">
        <v>32</v>
      </c>
      <c r="BA46" s="17" t="str">
        <f t="shared" si="11"/>
        <v/>
      </c>
      <c r="BB46" s="90" t="s">
        <v>111</v>
      </c>
      <c r="BC46" s="20">
        <v>2</v>
      </c>
      <c r="BD46" s="158" t="str">
        <f t="shared" si="102"/>
        <v>No more values:</v>
      </c>
      <c r="BE46" s="159" t="str">
        <f t="shared" si="102"/>
        <v>No more values:</v>
      </c>
      <c r="BF46" s="159" t="str">
        <f t="shared" si="102"/>
        <v/>
      </c>
      <c r="BG46" s="159" t="str">
        <f>IF(J87="","",J87)</f>
        <v/>
      </c>
      <c r="BH46" s="159" t="str">
        <f t="shared" si="102"/>
        <v/>
      </c>
      <c r="BI46" s="159" t="str">
        <f t="shared" si="102"/>
        <v/>
      </c>
      <c r="BJ46" s="159" t="str">
        <f t="shared" si="102"/>
        <v/>
      </c>
      <c r="BK46" s="159" t="str">
        <f t="shared" si="102"/>
        <v/>
      </c>
      <c r="BL46" s="159" t="str">
        <f t="shared" si="102"/>
        <v/>
      </c>
      <c r="BM46" s="159" t="str">
        <f t="shared" si="102"/>
        <v/>
      </c>
      <c r="BN46" s="159" t="str">
        <f t="shared" si="102"/>
        <v/>
      </c>
      <c r="BO46" s="159" t="str">
        <f t="shared" si="102"/>
        <v/>
      </c>
      <c r="BP46" s="159" t="str">
        <f t="shared" si="102"/>
        <v/>
      </c>
      <c r="BQ46" s="159" t="str">
        <f t="shared" si="102"/>
        <v/>
      </c>
      <c r="BR46" s="159" t="str">
        <f t="shared" ref="BR46:BR54" si="104">IF(V87="","",V87)</f>
        <v/>
      </c>
      <c r="BS46" s="159" t="str">
        <f t="shared" si="103"/>
        <v/>
      </c>
      <c r="BT46" s="159" t="str">
        <f t="shared" si="103"/>
        <v/>
      </c>
      <c r="BU46" s="159" t="str">
        <f t="shared" si="103"/>
        <v/>
      </c>
      <c r="BV46" s="159" t="str">
        <f t="shared" si="103"/>
        <v/>
      </c>
      <c r="BW46" s="159" t="str">
        <f t="shared" si="103"/>
        <v/>
      </c>
      <c r="BX46" s="159" t="str">
        <f t="shared" si="103"/>
        <v/>
      </c>
      <c r="BY46" s="159" t="str">
        <f t="shared" si="103"/>
        <v/>
      </c>
      <c r="BZ46" s="159" t="str">
        <f t="shared" si="103"/>
        <v/>
      </c>
      <c r="CA46" s="159" t="str">
        <f t="shared" si="103"/>
        <v/>
      </c>
      <c r="CB46" s="159" t="str">
        <f t="shared" si="103"/>
        <v/>
      </c>
      <c r="CC46" s="159" t="str">
        <f t="shared" si="103"/>
        <v/>
      </c>
      <c r="CD46" s="159" t="str">
        <f t="shared" si="103"/>
        <v/>
      </c>
      <c r="CE46" s="159" t="str">
        <f t="shared" si="103"/>
        <v/>
      </c>
      <c r="CF46" s="159" t="str">
        <f t="shared" si="103"/>
        <v/>
      </c>
      <c r="CG46" s="159" t="str">
        <f t="shared" si="103"/>
        <v/>
      </c>
      <c r="CH46" s="159" t="str">
        <f t="shared" si="103"/>
        <v/>
      </c>
      <c r="CI46" s="159" t="str">
        <f t="shared" ref="CI46:CI54" si="105">IF(AO87="","",AO87)</f>
        <v/>
      </c>
      <c r="CJ46" s="159" t="str">
        <f t="shared" ref="CJ46:CJ54" si="106">IF(AP87="","",AP87)</f>
        <v/>
      </c>
      <c r="CK46" s="160" t="str">
        <f t="shared" ref="CK46:CK54" si="107">IF(AQ87="","",AQ87)</f>
        <v/>
      </c>
      <c r="CL46" s="159" t="str">
        <f>IF(AR87="","",AR87)</f>
        <v/>
      </c>
    </row>
    <row r="47" spans="6:90" x14ac:dyDescent="0.25">
      <c r="AS47" s="68"/>
      <c r="AT47" s="12"/>
      <c r="AU47" s="12"/>
      <c r="AV47" s="18"/>
      <c r="AW47" s="6"/>
      <c r="AX47" s="3">
        <f t="shared" si="18"/>
        <v>0</v>
      </c>
      <c r="AY47" s="19" t="s">
        <v>144</v>
      </c>
      <c r="AZ47" s="9">
        <v>33</v>
      </c>
      <c r="BA47" s="17" t="str">
        <f t="shared" si="11"/>
        <v/>
      </c>
      <c r="BB47" s="90" t="s">
        <v>111</v>
      </c>
      <c r="BC47" s="20">
        <v>3</v>
      </c>
      <c r="BD47" s="158" t="str">
        <f>IF(G88="","",G88)</f>
        <v/>
      </c>
      <c r="BE47" s="159" t="str">
        <f t="shared" si="102"/>
        <v/>
      </c>
      <c r="BF47" s="159" t="str">
        <f t="shared" si="102"/>
        <v/>
      </c>
      <c r="BG47" s="159" t="str">
        <f>IF(J88="","",J88)</f>
        <v/>
      </c>
      <c r="BH47" s="159" t="str">
        <f t="shared" si="102"/>
        <v/>
      </c>
      <c r="BI47" s="159" t="str">
        <f t="shared" si="102"/>
        <v/>
      </c>
      <c r="BJ47" s="159" t="str">
        <f t="shared" si="102"/>
        <v/>
      </c>
      <c r="BK47" s="159" t="str">
        <f t="shared" si="102"/>
        <v/>
      </c>
      <c r="BL47" s="159" t="str">
        <f t="shared" si="102"/>
        <v/>
      </c>
      <c r="BM47" s="159" t="str">
        <f t="shared" si="102"/>
        <v/>
      </c>
      <c r="BN47" s="159" t="str">
        <f t="shared" si="102"/>
        <v/>
      </c>
      <c r="BO47" s="159" t="str">
        <f t="shared" si="102"/>
        <v/>
      </c>
      <c r="BP47" s="159" t="str">
        <f t="shared" si="102"/>
        <v/>
      </c>
      <c r="BQ47" s="159" t="str">
        <f t="shared" si="102"/>
        <v/>
      </c>
      <c r="BR47" s="159" t="str">
        <f t="shared" si="104"/>
        <v/>
      </c>
      <c r="BS47" s="159" t="str">
        <f t="shared" si="103"/>
        <v/>
      </c>
      <c r="BT47" s="159" t="str">
        <f t="shared" si="103"/>
        <v/>
      </c>
      <c r="BU47" s="159" t="str">
        <f t="shared" si="103"/>
        <v/>
      </c>
      <c r="BV47" s="159" t="str">
        <f t="shared" si="103"/>
        <v/>
      </c>
      <c r="BW47" s="159" t="str">
        <f t="shared" si="103"/>
        <v/>
      </c>
      <c r="BX47" s="159" t="str">
        <f t="shared" si="103"/>
        <v/>
      </c>
      <c r="BY47" s="159" t="str">
        <f t="shared" si="103"/>
        <v/>
      </c>
      <c r="BZ47" s="159" t="str">
        <f t="shared" si="103"/>
        <v/>
      </c>
      <c r="CA47" s="159" t="str">
        <f t="shared" si="103"/>
        <v/>
      </c>
      <c r="CB47" s="159" t="str">
        <f t="shared" si="103"/>
        <v/>
      </c>
      <c r="CC47" s="159" t="str">
        <f t="shared" si="103"/>
        <v/>
      </c>
      <c r="CD47" s="159" t="str">
        <f t="shared" si="103"/>
        <v/>
      </c>
      <c r="CE47" s="159" t="str">
        <f t="shared" si="103"/>
        <v/>
      </c>
      <c r="CF47" s="159" t="str">
        <f t="shared" si="103"/>
        <v/>
      </c>
      <c r="CG47" s="159" t="str">
        <f t="shared" si="103"/>
        <v/>
      </c>
      <c r="CH47" s="159" t="str">
        <f t="shared" si="103"/>
        <v/>
      </c>
      <c r="CI47" s="159" t="str">
        <f t="shared" si="105"/>
        <v/>
      </c>
      <c r="CJ47" s="159" t="str">
        <f t="shared" si="106"/>
        <v/>
      </c>
      <c r="CK47" s="160" t="str">
        <f t="shared" si="107"/>
        <v/>
      </c>
      <c r="CL47" s="159" t="str">
        <f>IF(AR88="","",AR88)</f>
        <v/>
      </c>
    </row>
    <row r="48" spans="6:90" ht="51.75" x14ac:dyDescent="0.25">
      <c r="H48" s="1" t="s">
        <v>47</v>
      </c>
      <c r="I48" s="182" t="s">
        <v>248</v>
      </c>
      <c r="J48" s="144" t="s">
        <v>175</v>
      </c>
      <c r="K48" s="144" t="s">
        <v>49</v>
      </c>
      <c r="L48" s="144"/>
      <c r="M48" s="144" t="s">
        <v>48</v>
      </c>
      <c r="N48" s="144" t="s">
        <v>176</v>
      </c>
      <c r="O48" s="144"/>
      <c r="P48" s="145" t="s">
        <v>26</v>
      </c>
      <c r="Q48" s="146" t="s">
        <v>224</v>
      </c>
      <c r="R48" s="146" t="s">
        <v>28</v>
      </c>
      <c r="S48" s="146" t="s">
        <v>268</v>
      </c>
      <c r="T48" s="146" t="s">
        <v>225</v>
      </c>
      <c r="U48" s="147" t="s">
        <v>166</v>
      </c>
      <c r="V48" s="146" t="s">
        <v>178</v>
      </c>
      <c r="W48" s="148" t="s">
        <v>30</v>
      </c>
      <c r="X48" s="148" t="s">
        <v>31</v>
      </c>
      <c r="Y48" s="146" t="s">
        <v>32</v>
      </c>
      <c r="Z48" s="146" t="s">
        <v>33</v>
      </c>
      <c r="AA48" s="146" t="s">
        <v>34</v>
      </c>
      <c r="AB48" s="148" t="s">
        <v>35</v>
      </c>
      <c r="AC48" s="148" t="s">
        <v>36</v>
      </c>
      <c r="AD48" s="149" t="s">
        <v>37</v>
      </c>
      <c r="AE48" s="146" t="s">
        <v>40</v>
      </c>
      <c r="AF48" s="146" t="s">
        <v>226</v>
      </c>
      <c r="AG48" s="150" t="s">
        <v>38</v>
      </c>
      <c r="AH48" s="146" t="s">
        <v>41</v>
      </c>
      <c r="AI48" s="146" t="s">
        <v>42</v>
      </c>
      <c r="AJ48" s="146" t="s">
        <v>29</v>
      </c>
      <c r="AK48" s="146" t="s">
        <v>227</v>
      </c>
      <c r="AL48" s="219" t="s">
        <v>256</v>
      </c>
      <c r="AM48" s="147" t="s">
        <v>166</v>
      </c>
      <c r="AN48" s="2" t="s">
        <v>39</v>
      </c>
      <c r="AO48" s="30" t="s">
        <v>156</v>
      </c>
      <c r="AP48" s="225" t="s">
        <v>263</v>
      </c>
      <c r="AQ48" s="30" t="s">
        <v>206</v>
      </c>
      <c r="AR48" s="178" t="s">
        <v>240</v>
      </c>
      <c r="AS48" s="68"/>
      <c r="AT48" s="12"/>
      <c r="AU48" s="12"/>
      <c r="AV48" s="18"/>
      <c r="AW48" s="6"/>
      <c r="AX48" s="3">
        <f t="shared" si="18"/>
        <v>0</v>
      </c>
      <c r="AY48" s="19" t="s">
        <v>145</v>
      </c>
      <c r="AZ48" s="9">
        <v>34</v>
      </c>
      <c r="BA48" s="17" t="str">
        <f t="shared" si="11"/>
        <v/>
      </c>
      <c r="BB48" s="90" t="s">
        <v>111</v>
      </c>
      <c r="BC48" s="20">
        <v>4</v>
      </c>
      <c r="BD48" s="158" t="str">
        <f t="shared" si="102"/>
        <v/>
      </c>
      <c r="BE48" s="159" t="str">
        <f t="shared" si="102"/>
        <v/>
      </c>
      <c r="BF48" s="159" t="str">
        <f t="shared" si="102"/>
        <v/>
      </c>
      <c r="BG48" s="159" t="str">
        <f t="shared" si="102"/>
        <v/>
      </c>
      <c r="BH48" s="159" t="str">
        <f t="shared" si="102"/>
        <v/>
      </c>
      <c r="BI48" s="159" t="str">
        <f t="shared" si="102"/>
        <v/>
      </c>
      <c r="BJ48" s="159" t="str">
        <f t="shared" si="102"/>
        <v/>
      </c>
      <c r="BK48" s="159" t="str">
        <f t="shared" si="102"/>
        <v/>
      </c>
      <c r="BL48" s="159" t="str">
        <f t="shared" si="102"/>
        <v/>
      </c>
      <c r="BM48" s="159" t="str">
        <f t="shared" si="102"/>
        <v/>
      </c>
      <c r="BN48" s="159" t="str">
        <f t="shared" si="102"/>
        <v/>
      </c>
      <c r="BO48" s="159" t="str">
        <f t="shared" si="102"/>
        <v/>
      </c>
      <c r="BP48" s="159" t="str">
        <f t="shared" si="102"/>
        <v/>
      </c>
      <c r="BQ48" s="159" t="str">
        <f t="shared" si="102"/>
        <v/>
      </c>
      <c r="BR48" s="159" t="str">
        <f t="shared" si="104"/>
        <v/>
      </c>
      <c r="BS48" s="159" t="str">
        <f t="shared" si="103"/>
        <v/>
      </c>
      <c r="BT48" s="159" t="str">
        <f t="shared" si="103"/>
        <v/>
      </c>
      <c r="BU48" s="159" t="str">
        <f t="shared" si="103"/>
        <v/>
      </c>
      <c r="BV48" s="159" t="str">
        <f t="shared" si="103"/>
        <v/>
      </c>
      <c r="BW48" s="159" t="str">
        <f t="shared" si="103"/>
        <v/>
      </c>
      <c r="BX48" s="159" t="str">
        <f t="shared" si="103"/>
        <v/>
      </c>
      <c r="BY48" s="159" t="str">
        <f t="shared" si="103"/>
        <v/>
      </c>
      <c r="BZ48" s="159" t="str">
        <f t="shared" si="103"/>
        <v/>
      </c>
      <c r="CA48" s="159" t="str">
        <f t="shared" si="103"/>
        <v/>
      </c>
      <c r="CB48" s="159" t="str">
        <f t="shared" si="103"/>
        <v/>
      </c>
      <c r="CC48" s="159" t="str">
        <f t="shared" si="103"/>
        <v/>
      </c>
      <c r="CD48" s="159" t="str">
        <f t="shared" si="103"/>
        <v/>
      </c>
      <c r="CE48" s="159" t="str">
        <f t="shared" si="103"/>
        <v/>
      </c>
      <c r="CF48" s="159" t="str">
        <f t="shared" si="103"/>
        <v/>
      </c>
      <c r="CG48" s="159" t="str">
        <f t="shared" si="103"/>
        <v/>
      </c>
      <c r="CH48" s="159" t="str">
        <f t="shared" si="103"/>
        <v/>
      </c>
      <c r="CI48" s="159" t="str">
        <f t="shared" si="105"/>
        <v/>
      </c>
      <c r="CJ48" s="159" t="str">
        <f t="shared" si="106"/>
        <v/>
      </c>
      <c r="CK48" s="160" t="str">
        <f t="shared" si="107"/>
        <v/>
      </c>
      <c r="CL48" s="159" t="str">
        <f>IF(AR89="","",AR89)</f>
        <v/>
      </c>
    </row>
    <row r="49" spans="6:90" ht="18" x14ac:dyDescent="0.25">
      <c r="G49" s="294" t="s">
        <v>43</v>
      </c>
      <c r="H49" s="284" t="str">
        <f>H$9</f>
        <v>CYCLE</v>
      </c>
      <c r="I49" s="370" t="str">
        <f t="shared" ref="I49:O49" si="108">I$10</f>
        <v>MATTE GRADE</v>
      </c>
      <c r="J49" s="370" t="str">
        <f t="shared" si="108"/>
        <v>MATTE PRODUCED</v>
      </c>
      <c r="K49" s="370" t="str">
        <f t="shared" si="108"/>
        <v>MATTE TREATED</v>
      </c>
      <c r="L49" s="370" t="str">
        <f t="shared" si="108"/>
        <v>MATTE SKULL PRODUCTION</v>
      </c>
      <c r="M49" s="370" t="str">
        <f t="shared" si="108"/>
        <v>BLISTER PRODUCED</v>
      </c>
      <c r="N49" s="370" t="str">
        <f t="shared" si="108"/>
        <v>BLISTER TREATED</v>
      </c>
      <c r="O49" s="370" t="str">
        <f t="shared" si="108"/>
        <v>BLISTER SKULL PRODUCTION</v>
      </c>
      <c r="P49" s="373" t="s">
        <v>6</v>
      </c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110"/>
      <c r="AJ49" s="3"/>
      <c r="AK49" s="3"/>
      <c r="AL49" s="3"/>
      <c r="AM49" s="3"/>
      <c r="AN49" s="3"/>
      <c r="AO49" s="3"/>
      <c r="AP49" s="3"/>
      <c r="AQ49" s="3"/>
      <c r="AS49" s="68"/>
      <c r="AT49" s="12"/>
      <c r="AU49" s="12"/>
      <c r="AV49" s="12"/>
      <c r="AW49" s="6"/>
      <c r="AX49" s="3">
        <f t="shared" si="18"/>
        <v>0</v>
      </c>
      <c r="AY49" s="19" t="s">
        <v>146</v>
      </c>
      <c r="AZ49" s="9">
        <v>35</v>
      </c>
      <c r="BA49" s="17" t="str">
        <f t="shared" si="11"/>
        <v/>
      </c>
      <c r="BB49" s="90" t="s">
        <v>111</v>
      </c>
      <c r="BC49" s="20">
        <v>5</v>
      </c>
      <c r="BD49" s="158" t="str">
        <f t="shared" si="102"/>
        <v/>
      </c>
      <c r="BE49" s="159" t="str">
        <f t="shared" si="102"/>
        <v/>
      </c>
      <c r="BF49" s="159" t="str">
        <f t="shared" si="102"/>
        <v/>
      </c>
      <c r="BG49" s="159" t="str">
        <f t="shared" si="102"/>
        <v/>
      </c>
      <c r="BH49" s="159" t="str">
        <f t="shared" si="102"/>
        <v/>
      </c>
      <c r="BI49" s="159" t="str">
        <f t="shared" si="102"/>
        <v/>
      </c>
      <c r="BJ49" s="159" t="str">
        <f t="shared" si="102"/>
        <v/>
      </c>
      <c r="BK49" s="159" t="str">
        <f t="shared" si="102"/>
        <v/>
      </c>
      <c r="BL49" s="159" t="str">
        <f t="shared" si="102"/>
        <v/>
      </c>
      <c r="BM49" s="159" t="str">
        <f t="shared" si="102"/>
        <v/>
      </c>
      <c r="BN49" s="159" t="str">
        <f t="shared" si="102"/>
        <v/>
      </c>
      <c r="BO49" s="159" t="str">
        <f t="shared" si="102"/>
        <v/>
      </c>
      <c r="BP49" s="159" t="str">
        <f t="shared" si="102"/>
        <v/>
      </c>
      <c r="BQ49" s="159" t="str">
        <f t="shared" si="102"/>
        <v/>
      </c>
      <c r="BR49" s="159" t="str">
        <f t="shared" si="104"/>
        <v/>
      </c>
      <c r="BS49" s="159" t="str">
        <f t="shared" si="103"/>
        <v/>
      </c>
      <c r="BT49" s="159" t="str">
        <f t="shared" si="103"/>
        <v/>
      </c>
      <c r="BU49" s="159" t="str">
        <f t="shared" si="103"/>
        <v/>
      </c>
      <c r="BV49" s="159" t="str">
        <f t="shared" si="103"/>
        <v/>
      </c>
      <c r="BW49" s="159" t="str">
        <f t="shared" si="103"/>
        <v/>
      </c>
      <c r="BX49" s="159" t="str">
        <f t="shared" si="103"/>
        <v/>
      </c>
      <c r="BY49" s="159" t="str">
        <f t="shared" si="103"/>
        <v/>
      </c>
      <c r="BZ49" s="159" t="str">
        <f t="shared" si="103"/>
        <v/>
      </c>
      <c r="CA49" s="159" t="str">
        <f t="shared" si="103"/>
        <v/>
      </c>
      <c r="CB49" s="159" t="str">
        <f t="shared" si="103"/>
        <v/>
      </c>
      <c r="CC49" s="159" t="str">
        <f t="shared" si="103"/>
        <v/>
      </c>
      <c r="CD49" s="159" t="str">
        <f t="shared" si="103"/>
        <v/>
      </c>
      <c r="CE49" s="159" t="str">
        <f t="shared" si="103"/>
        <v/>
      </c>
      <c r="CF49" s="159" t="str">
        <f t="shared" si="103"/>
        <v/>
      </c>
      <c r="CG49" s="159" t="str">
        <f t="shared" si="103"/>
        <v/>
      </c>
      <c r="CH49" s="159" t="str">
        <f t="shared" si="103"/>
        <v/>
      </c>
      <c r="CI49" s="159" t="str">
        <f t="shared" si="105"/>
        <v/>
      </c>
      <c r="CJ49" s="159" t="str">
        <f t="shared" si="106"/>
        <v/>
      </c>
      <c r="CK49" s="160" t="str">
        <f t="shared" si="107"/>
        <v/>
      </c>
      <c r="CL49" s="159" t="str">
        <f t="shared" ref="CL49:CL54" si="109">IF(AR90="","",AR90)</f>
        <v/>
      </c>
    </row>
    <row r="50" spans="6:90" ht="15.75" x14ac:dyDescent="0.25">
      <c r="G50" s="294"/>
      <c r="H50" s="285"/>
      <c r="I50" s="371"/>
      <c r="J50" s="371"/>
      <c r="K50" s="371"/>
      <c r="L50" s="371"/>
      <c r="M50" s="371"/>
      <c r="N50" s="371"/>
      <c r="O50" s="371"/>
      <c r="P50" s="374" t="s">
        <v>24</v>
      </c>
      <c r="Q50" s="374"/>
      <c r="R50" s="374"/>
      <c r="S50" s="374"/>
      <c r="T50" s="151"/>
      <c r="U50" s="374" t="s">
        <v>25</v>
      </c>
      <c r="V50" s="374"/>
      <c r="W50" s="374"/>
      <c r="X50" s="374"/>
      <c r="Y50" s="374"/>
      <c r="Z50" s="374"/>
      <c r="AA50" s="374"/>
      <c r="AB50" s="374"/>
      <c r="AC50" s="374"/>
      <c r="AD50" s="374"/>
      <c r="AE50" s="374"/>
      <c r="AF50" s="374"/>
      <c r="AG50" s="374"/>
      <c r="AH50" s="374"/>
      <c r="AI50" s="119"/>
      <c r="AJ50" s="8"/>
      <c r="AK50" s="8"/>
      <c r="AL50" s="8"/>
      <c r="AM50" s="8"/>
      <c r="AN50" s="8"/>
      <c r="AO50" s="8"/>
      <c r="AP50" s="8"/>
      <c r="AQ50" s="8"/>
      <c r="AS50" s="68"/>
      <c r="AT50" s="12"/>
      <c r="AU50" s="12"/>
      <c r="AV50" s="12"/>
      <c r="AW50" s="6"/>
      <c r="AX50" s="3">
        <f t="shared" si="18"/>
        <v>0</v>
      </c>
      <c r="AY50" s="19" t="s">
        <v>147</v>
      </c>
      <c r="AZ50" s="9">
        <v>36</v>
      </c>
      <c r="BA50" s="17" t="str">
        <f t="shared" si="11"/>
        <v/>
      </c>
      <c r="BB50" s="90" t="s">
        <v>111</v>
      </c>
      <c r="BC50" s="20">
        <v>6</v>
      </c>
      <c r="BD50" s="158" t="str">
        <f t="shared" si="102"/>
        <v/>
      </c>
      <c r="BE50" s="159" t="str">
        <f t="shared" si="102"/>
        <v/>
      </c>
      <c r="BF50" s="159" t="str">
        <f t="shared" si="102"/>
        <v/>
      </c>
      <c r="BG50" s="159" t="str">
        <f t="shared" si="102"/>
        <v/>
      </c>
      <c r="BH50" s="159" t="str">
        <f t="shared" si="102"/>
        <v/>
      </c>
      <c r="BI50" s="159" t="str">
        <f t="shared" si="102"/>
        <v/>
      </c>
      <c r="BJ50" s="159" t="str">
        <f t="shared" si="102"/>
        <v/>
      </c>
      <c r="BK50" s="159" t="str">
        <f t="shared" si="102"/>
        <v/>
      </c>
      <c r="BL50" s="159" t="str">
        <f t="shared" si="102"/>
        <v/>
      </c>
      <c r="BM50" s="159" t="str">
        <f t="shared" si="102"/>
        <v/>
      </c>
      <c r="BN50" s="159" t="str">
        <f t="shared" si="102"/>
        <v/>
      </c>
      <c r="BO50" s="159" t="str">
        <f t="shared" si="102"/>
        <v/>
      </c>
      <c r="BP50" s="159" t="str">
        <f t="shared" si="102"/>
        <v/>
      </c>
      <c r="BQ50" s="159" t="str">
        <f t="shared" si="102"/>
        <v/>
      </c>
      <c r="BR50" s="159" t="str">
        <f t="shared" si="104"/>
        <v/>
      </c>
      <c r="BS50" s="159" t="str">
        <f t="shared" si="103"/>
        <v/>
      </c>
      <c r="BT50" s="159" t="str">
        <f t="shared" si="103"/>
        <v/>
      </c>
      <c r="BU50" s="159" t="str">
        <f t="shared" si="103"/>
        <v/>
      </c>
      <c r="BV50" s="159" t="str">
        <f t="shared" si="103"/>
        <v/>
      </c>
      <c r="BW50" s="159" t="str">
        <f t="shared" si="103"/>
        <v/>
      </c>
      <c r="BX50" s="159" t="str">
        <f t="shared" si="103"/>
        <v/>
      </c>
      <c r="BY50" s="159" t="str">
        <f t="shared" si="103"/>
        <v/>
      </c>
      <c r="BZ50" s="159" t="str">
        <f t="shared" si="103"/>
        <v/>
      </c>
      <c r="CA50" s="159" t="str">
        <f t="shared" si="103"/>
        <v/>
      </c>
      <c r="CB50" s="159" t="str">
        <f t="shared" si="103"/>
        <v/>
      </c>
      <c r="CC50" s="159" t="str">
        <f t="shared" si="103"/>
        <v/>
      </c>
      <c r="CD50" s="159" t="str">
        <f t="shared" si="103"/>
        <v/>
      </c>
      <c r="CE50" s="159" t="str">
        <f t="shared" si="103"/>
        <v/>
      </c>
      <c r="CF50" s="159" t="str">
        <f t="shared" si="103"/>
        <v/>
      </c>
      <c r="CG50" s="159" t="str">
        <f t="shared" si="103"/>
        <v/>
      </c>
      <c r="CH50" s="159" t="str">
        <f t="shared" si="103"/>
        <v/>
      </c>
      <c r="CI50" s="159" t="str">
        <f t="shared" si="105"/>
        <v/>
      </c>
      <c r="CJ50" s="159" t="str">
        <f t="shared" si="106"/>
        <v/>
      </c>
      <c r="CK50" s="160" t="str">
        <f t="shared" si="107"/>
        <v/>
      </c>
      <c r="CL50" s="159" t="str">
        <f t="shared" si="109"/>
        <v/>
      </c>
    </row>
    <row r="51" spans="6:90" ht="38.25" x14ac:dyDescent="0.25">
      <c r="F51" s="3"/>
      <c r="G51" s="294"/>
      <c r="H51" s="295"/>
      <c r="I51" s="372"/>
      <c r="J51" s="372"/>
      <c r="K51" s="372"/>
      <c r="L51" s="372"/>
      <c r="M51" s="372"/>
      <c r="N51" s="372"/>
      <c r="O51" s="372"/>
      <c r="P51" s="152" t="s">
        <v>7</v>
      </c>
      <c r="Q51" s="152" t="s">
        <v>8</v>
      </c>
      <c r="R51" s="152" t="s">
        <v>10</v>
      </c>
      <c r="S51" s="152" t="s">
        <v>9</v>
      </c>
      <c r="T51" s="152" t="s">
        <v>219</v>
      </c>
      <c r="U51" s="152"/>
      <c r="V51" s="152" t="s">
        <v>9</v>
      </c>
      <c r="W51" s="152" t="s">
        <v>12</v>
      </c>
      <c r="X51" s="152" t="s">
        <v>13</v>
      </c>
      <c r="Y51" s="152" t="s">
        <v>14</v>
      </c>
      <c r="Z51" s="152" t="s">
        <v>15</v>
      </c>
      <c r="AA51" s="152" t="s">
        <v>16</v>
      </c>
      <c r="AB51" s="152" t="s">
        <v>17</v>
      </c>
      <c r="AC51" s="152" t="s">
        <v>18</v>
      </c>
      <c r="AD51" s="152" t="s">
        <v>19</v>
      </c>
      <c r="AE51" s="152" t="s">
        <v>21</v>
      </c>
      <c r="AF51" s="152" t="s">
        <v>8</v>
      </c>
      <c r="AG51" s="152" t="s">
        <v>222</v>
      </c>
      <c r="AH51" s="152" t="s">
        <v>22</v>
      </c>
      <c r="AI51" s="152" t="s">
        <v>23</v>
      </c>
      <c r="AJ51" s="154" t="s">
        <v>11</v>
      </c>
      <c r="AK51" s="155" t="s">
        <v>217</v>
      </c>
      <c r="AL51" s="155" t="s">
        <v>259</v>
      </c>
      <c r="AM51" s="137"/>
      <c r="AN51" s="137"/>
      <c r="AO51" s="138" t="s">
        <v>155</v>
      </c>
      <c r="AP51" s="184"/>
      <c r="AQ51" s="137" t="s">
        <v>209</v>
      </c>
      <c r="AS51" s="68"/>
      <c r="AT51" s="12"/>
      <c r="AU51" s="12"/>
      <c r="AV51" s="12"/>
      <c r="AW51" s="6"/>
      <c r="AX51" s="3">
        <f t="shared" si="18"/>
        <v>0</v>
      </c>
      <c r="AY51" s="19" t="s">
        <v>148</v>
      </c>
      <c r="AZ51" s="9">
        <v>37</v>
      </c>
      <c r="BA51" s="17" t="str">
        <f t="shared" si="11"/>
        <v/>
      </c>
      <c r="BB51" s="90" t="s">
        <v>111</v>
      </c>
      <c r="BC51" s="20">
        <v>7</v>
      </c>
      <c r="BD51" s="158" t="str">
        <f t="shared" ref="BD51:BE54" si="110">IF(G92="","",G92)</f>
        <v/>
      </c>
      <c r="BE51" s="159" t="str">
        <f t="shared" si="110"/>
        <v/>
      </c>
      <c r="BF51" s="159" t="str">
        <f t="shared" si="102"/>
        <v/>
      </c>
      <c r="BG51" s="159" t="str">
        <f t="shared" ref="BG51:BQ54" si="111">IF(J92="","",J92)</f>
        <v/>
      </c>
      <c r="BH51" s="159" t="str">
        <f t="shared" si="111"/>
        <v/>
      </c>
      <c r="BI51" s="159" t="str">
        <f t="shared" si="111"/>
        <v/>
      </c>
      <c r="BJ51" s="159" t="str">
        <f t="shared" si="111"/>
        <v/>
      </c>
      <c r="BK51" s="159" t="str">
        <f t="shared" si="111"/>
        <v/>
      </c>
      <c r="BL51" s="159" t="str">
        <f t="shared" si="111"/>
        <v/>
      </c>
      <c r="BM51" s="159" t="str">
        <f t="shared" si="111"/>
        <v/>
      </c>
      <c r="BN51" s="159" t="str">
        <f t="shared" si="111"/>
        <v/>
      </c>
      <c r="BO51" s="159" t="str">
        <f t="shared" si="111"/>
        <v/>
      </c>
      <c r="BP51" s="159" t="str">
        <f t="shared" si="111"/>
        <v/>
      </c>
      <c r="BQ51" s="159" t="str">
        <f t="shared" si="111"/>
        <v/>
      </c>
      <c r="BR51" s="159" t="str">
        <f t="shared" si="104"/>
        <v/>
      </c>
      <c r="BS51" s="159" t="str">
        <f t="shared" si="103"/>
        <v/>
      </c>
      <c r="BT51" s="159" t="str">
        <f t="shared" si="103"/>
        <v/>
      </c>
      <c r="BU51" s="159" t="str">
        <f t="shared" si="103"/>
        <v/>
      </c>
      <c r="BV51" s="159" t="str">
        <f t="shared" si="103"/>
        <v/>
      </c>
      <c r="BW51" s="159" t="str">
        <f t="shared" si="103"/>
        <v/>
      </c>
      <c r="BX51" s="159" t="str">
        <f t="shared" si="103"/>
        <v/>
      </c>
      <c r="BY51" s="159" t="str">
        <f t="shared" si="103"/>
        <v/>
      </c>
      <c r="BZ51" s="159" t="str">
        <f t="shared" si="103"/>
        <v/>
      </c>
      <c r="CA51" s="159" t="str">
        <f t="shared" si="103"/>
        <v/>
      </c>
      <c r="CB51" s="159" t="str">
        <f t="shared" si="103"/>
        <v/>
      </c>
      <c r="CC51" s="159" t="str">
        <f t="shared" si="103"/>
        <v/>
      </c>
      <c r="CD51" s="159" t="str">
        <f t="shared" si="103"/>
        <v/>
      </c>
      <c r="CE51" s="159" t="str">
        <f t="shared" si="103"/>
        <v/>
      </c>
      <c r="CF51" s="159" t="str">
        <f t="shared" si="103"/>
        <v/>
      </c>
      <c r="CG51" s="159" t="str">
        <f t="shared" si="103"/>
        <v/>
      </c>
      <c r="CH51" s="159" t="str">
        <f t="shared" si="103"/>
        <v/>
      </c>
      <c r="CI51" s="159" t="str">
        <f t="shared" si="105"/>
        <v/>
      </c>
      <c r="CJ51" s="159" t="str">
        <f t="shared" si="106"/>
        <v/>
      </c>
      <c r="CK51" s="160" t="str">
        <f t="shared" si="107"/>
        <v/>
      </c>
      <c r="CL51" s="159" t="str">
        <f t="shared" si="109"/>
        <v/>
      </c>
    </row>
    <row r="52" spans="6:90" ht="20.25" x14ac:dyDescent="0.25">
      <c r="F52" s="3">
        <v>1</v>
      </c>
      <c r="G52" s="64" t="str">
        <f t="array" ref="G52:H53">_xll.PICompDat(Data_mbcb!$H$48,Data_mbcb!$G$4,Data_mbcb!$G$5,9,"pi_server","inside")</f>
        <v>No more values:</v>
      </c>
      <c r="H52" s="65" t="str">
        <v>No more values:</v>
      </c>
      <c r="I52" s="157" t="str">
        <f>IF(OR($G52="",$G52=" ",ISTEXT($G52)),"",_xll.PITimeDat(Data_mbcb!I$48,Data_mbcb!$G52,"pi_server","interpolated"))</f>
        <v/>
      </c>
      <c r="J52" s="157" t="str">
        <f>IF(OR($G52="",$G52=" ",ISTEXT($G52)),"",_xll.PITimeDat(Data_mbcb!J$48,Data_mbcb!$G52,"pi_server","interpolated"))</f>
        <v/>
      </c>
      <c r="K52" s="157" t="str">
        <f>IF(OR($G52="",$G52=" ",ISTEXT($G52)),"",_xll.PITimeDat(Data_mbcb!K$48,Data_mbcb!$G52,"pi_server","interpolated"))</f>
        <v/>
      </c>
      <c r="L52" s="157" t="str">
        <f>IFERROR(J52-K52,"")</f>
        <v/>
      </c>
      <c r="M52" s="157" t="str">
        <f>IF(OR($G52="",$G52=" ",ISTEXT($G52)),"",_xll.PITimeDat(Data_mbcb!M$48,Data_mbcb!$G52,"pi_server","interpolated"))</f>
        <v/>
      </c>
      <c r="N52" s="157" t="str">
        <f>IF(OR($G52="",$G52=" ",ISTEXT($G52)),"",_xll.PITimeDat(Data_mbcb!N$48,Data_mbcb!$G52,"pi_server","interpolated"))</f>
        <v/>
      </c>
      <c r="O52" s="157" t="str">
        <f>IFERROR(M52-N52,"")</f>
        <v/>
      </c>
      <c r="P52" s="157" t="str">
        <f>IF(OR($G52="",$G52=" ",ISTEXT($G52)),"",_xll.PITimeDat(Data_mbcb!P$48,Data_mbcb!$G52,"pi_server","interpolated"))</f>
        <v/>
      </c>
      <c r="Q52" s="157" t="str">
        <f>IF(OR($G52="",$G52=" ",ISTEXT($G52)),"",_xll.PITimeDat(Data_mbcb!Q$48,Data_mbcb!$G52,"pi_server","interpolated"))</f>
        <v/>
      </c>
      <c r="R52" s="157" t="str">
        <f>IF(OR($G52="",$G52=" ",ISTEXT($G52)),"",_xll.PITimeDat(Data_mbcb!R$48,Data_mbcb!$G52,"pi_server","interpolated"))</f>
        <v/>
      </c>
      <c r="S52" s="157" t="str">
        <f>IF(OR($G52="",$G52=" ",ISTEXT($G52)),"",_xll.PITimeDat(Data_mbcb!S$48,Data_mbcb!$G52,"pi_server","interpolated"))</f>
        <v/>
      </c>
      <c r="T52" s="157" t="str">
        <f>IF(OR($G52="",$G52=" ",ISTEXT($G52)),"",_xll.PITimeDat(Data_mbcb!T$48,Data_mbcb!$G52,"pi_server","interpolated"))</f>
        <v/>
      </c>
      <c r="U52" s="163" t="str">
        <f>IF(ISTEXT(_xll.PIArcVal(Data!T$32,Data!$G52,0,"PI_SERVER","interpolated")),"",_xll.PIArcVal(Data!T$32,Data!$G52,0,"PI_SERVER","interpolated"))</f>
        <v/>
      </c>
      <c r="V52" s="157" t="str">
        <f>IF(OR($G52="",$G52=" ",ISTEXT($G52)),"",_xll.PITimeDat(Data_mbcb!V$48,Data_mbcb!$G52,"pi_server","interpolated"))</f>
        <v/>
      </c>
      <c r="W52" s="157" t="str">
        <f>IF(OR($G52="",$G52=" ",ISTEXT($G52)),"",_xll.PITimeDat(Data_mbcb!W$48,Data_mbcb!$G52,"pi_server","interpolated"))</f>
        <v/>
      </c>
      <c r="X52" s="157" t="str">
        <f>IF(OR($G52="",$G52=" ",ISTEXT($G52)),"",_xll.PITimeDat(Data_mbcb!X$48,Data_mbcb!$G52,"pi_server","interpolated"))</f>
        <v/>
      </c>
      <c r="Y52" s="157" t="str">
        <f>IF(OR($G52="",$G52=" ",ISTEXT($G52)),"",_xll.PITimeDat(Data_mbcb!Y$48,Data_mbcb!$G52,"pi_server","interpolated"))</f>
        <v/>
      </c>
      <c r="Z52" s="157" t="str">
        <f>IF(OR($G52="",$G52=" ",ISTEXT($G52)),"",_xll.PITimeDat(Data_mbcb!Z$48,Data_mbcb!$G52,"pi_server","interpolated"))</f>
        <v/>
      </c>
      <c r="AA52" s="157" t="str">
        <f>IF(OR($G52="",$G52=" ",ISTEXT($G52)),"",_xll.PITimeDat(Data_mbcb!AA$48,Data_mbcb!$G52,"pi_server","interpolated"))</f>
        <v/>
      </c>
      <c r="AB52" s="157" t="str">
        <f>IF(OR($G52="",$G52=" ",ISTEXT($G52)),"",_xll.PITimeDat(Data_mbcb!AB$48,Data_mbcb!$G52,"pi_server","interpolated"))</f>
        <v/>
      </c>
      <c r="AC52" s="157" t="str">
        <f>IF(OR($G52="",$G52=" ",ISTEXT($G52)),"",_xll.PITimeDat(Data_mbcb!AC$48,Data_mbcb!$G52,"pi_server","interpolated"))</f>
        <v/>
      </c>
      <c r="AD52" s="157" t="str">
        <f>IF(OR($G52="",$G52=" ",ISTEXT($G52)),"",_xll.PITimeDat(Data_mbcb!AD$48,Data_mbcb!$G52,"pi_server","interpolated"))</f>
        <v/>
      </c>
      <c r="AE52" s="157" t="str">
        <f>IF(OR($G52="",$G52=" ",ISTEXT($G52)),"",_xll.PITimeDat(Data_mbcb!AE$48,Data_mbcb!$G52,"pi_server","interpolated"))</f>
        <v/>
      </c>
      <c r="AF52" s="157" t="str">
        <f>IF(OR($G52="",$G52=" ",ISTEXT($G52)),"",_xll.PITimeDat(Data_mbcb!AF$48,Data_mbcb!$G52,"pi_server","interpolated"))</f>
        <v/>
      </c>
      <c r="AG52" s="157" t="str">
        <f>IF(OR($G52="",$G52=" ",ISTEXT($G52)),"",_xll.PITimeDat(Data_mbcb!AG$48,Data_mbcb!$G52,"pi_server","interpolated"))</f>
        <v/>
      </c>
      <c r="AH52" s="157" t="str">
        <f>IF(OR($G52="",$G52=" ",ISTEXT($G52)),"",_xll.PITimeDat(Data_mbcb!AH$48,Data_mbcb!$G52,"pi_server","interpolated"))</f>
        <v/>
      </c>
      <c r="AI52" s="157" t="str">
        <f>IF(OR($G52="",$G52=" ",ISTEXT($G52)),"",_xll.PITimeDat(Data_mbcb!AI$48,Data_mbcb!$G52,"pi_server","interpolated"))</f>
        <v/>
      </c>
      <c r="AJ52" s="157" t="str">
        <f>IF(OR($G52="",$G52=" ",ISTEXT($G52)),"",_xll.PITimeDat(Data_mbcb!AJ$48,Data_mbcb!$G52,"pi_server","interpolated"))</f>
        <v/>
      </c>
      <c r="AK52" s="157" t="str">
        <f>IF(OR($G52="",$G52=" ",ISTEXT($G52)),"",_xll.PITimeDat(Data_mbcb!AK$31,Data_mbcb!$G52,"pi_server","interpolated"))</f>
        <v/>
      </c>
      <c r="AL52" s="157" t="str">
        <f>IF(OR($G52="",$G52=" ",ISTEXT($G52)),"",_xll.PITimeDat(Data_mbcb!AL$48,Data_mbcb!$G52,"pi_server","interpolated"))</f>
        <v/>
      </c>
      <c r="AM52" s="163"/>
      <c r="AN52" s="157" t="str">
        <f>IF(OR($G52="",$G52=" ",ISTEXT($G52)),"",_xll.PITimeDat(Data_mbcb!AN$48,Data_mbcb!$G52,"pi_server","interpolated"))</f>
        <v/>
      </c>
      <c r="AO52" s="157" t="str">
        <f>IF(OR($G52="",$G52=" ",ISTEXT($G52)),"",_xll.PITimeDat(Data_mbcb!AO$48,Data_mbcb!$G52,"pi_server","interpolated"))</f>
        <v/>
      </c>
      <c r="AP52" s="157" t="str">
        <f>IF(OR($G52="",$G52=" ",ISTEXT($G52)),"",_xll.PITimeDat(Data_mbcb!AP$48,Data_mbcb!$G52,"pi_server","interpolated"))</f>
        <v/>
      </c>
      <c r="AQ52" s="157" t="str">
        <f>IF(OR($G52="",$G52=" ",ISTEXT($G52)),"",_xll.PITimeDat(Data_mbcb!AQ$48,Data_mbcb!$G52,"pi_server","interpolated"))</f>
        <v/>
      </c>
      <c r="AR52" s="157" t="str">
        <f>IF(OR($G52="",$G52=" ",ISTEXT($G52)),"",_xll.PITimeDat(Data_mbcb!AR$48,Data_mbcb!$G52,"pi_server","interpolated"))</f>
        <v/>
      </c>
      <c r="AS52" s="68"/>
      <c r="AT52" s="12"/>
      <c r="AU52" s="12"/>
      <c r="AV52" s="12"/>
      <c r="AW52" s="6"/>
      <c r="AX52" s="3">
        <f t="shared" si="18"/>
        <v>0</v>
      </c>
      <c r="AY52" s="19" t="s">
        <v>149</v>
      </c>
      <c r="AZ52" s="9">
        <v>38</v>
      </c>
      <c r="BA52" s="17" t="str">
        <f t="shared" si="11"/>
        <v/>
      </c>
      <c r="BB52" s="90" t="s">
        <v>111</v>
      </c>
      <c r="BC52" s="20">
        <v>8</v>
      </c>
      <c r="BD52" s="158" t="str">
        <f t="shared" si="110"/>
        <v/>
      </c>
      <c r="BE52" s="159" t="str">
        <f t="shared" si="110"/>
        <v/>
      </c>
      <c r="BF52" s="159" t="str">
        <f t="shared" si="102"/>
        <v/>
      </c>
      <c r="BG52" s="159" t="str">
        <f t="shared" si="111"/>
        <v/>
      </c>
      <c r="BH52" s="159" t="str">
        <f t="shared" si="111"/>
        <v/>
      </c>
      <c r="BI52" s="159" t="str">
        <f t="shared" si="111"/>
        <v/>
      </c>
      <c r="BJ52" s="159" t="str">
        <f t="shared" si="111"/>
        <v/>
      </c>
      <c r="BK52" s="159" t="str">
        <f t="shared" si="111"/>
        <v/>
      </c>
      <c r="BL52" s="159" t="str">
        <f t="shared" si="111"/>
        <v/>
      </c>
      <c r="BM52" s="159" t="str">
        <f t="shared" si="111"/>
        <v/>
      </c>
      <c r="BN52" s="159" t="str">
        <f t="shared" si="111"/>
        <v/>
      </c>
      <c r="BO52" s="159" t="str">
        <f t="shared" si="111"/>
        <v/>
      </c>
      <c r="BP52" s="159" t="str">
        <f t="shared" si="111"/>
        <v/>
      </c>
      <c r="BQ52" s="159" t="str">
        <f t="shared" si="111"/>
        <v/>
      </c>
      <c r="BR52" s="159" t="str">
        <f t="shared" si="104"/>
        <v/>
      </c>
      <c r="BS52" s="159" t="str">
        <f t="shared" si="103"/>
        <v/>
      </c>
      <c r="BT52" s="159" t="str">
        <f t="shared" si="103"/>
        <v/>
      </c>
      <c r="BU52" s="159" t="str">
        <f t="shared" si="103"/>
        <v/>
      </c>
      <c r="BV52" s="159" t="str">
        <f t="shared" si="103"/>
        <v/>
      </c>
      <c r="BW52" s="159" t="str">
        <f t="shared" si="103"/>
        <v/>
      </c>
      <c r="BX52" s="159" t="str">
        <f t="shared" si="103"/>
        <v/>
      </c>
      <c r="BY52" s="159" t="str">
        <f t="shared" si="103"/>
        <v/>
      </c>
      <c r="BZ52" s="159" t="str">
        <f t="shared" si="103"/>
        <v/>
      </c>
      <c r="CA52" s="159" t="str">
        <f t="shared" si="103"/>
        <v/>
      </c>
      <c r="CB52" s="159" t="str">
        <f t="shared" si="103"/>
        <v/>
      </c>
      <c r="CC52" s="159" t="str">
        <f t="shared" si="103"/>
        <v/>
      </c>
      <c r="CD52" s="159" t="str">
        <f t="shared" si="103"/>
        <v/>
      </c>
      <c r="CE52" s="159" t="str">
        <f t="shared" si="103"/>
        <v/>
      </c>
      <c r="CF52" s="159" t="str">
        <f t="shared" si="103"/>
        <v/>
      </c>
      <c r="CG52" s="159" t="str">
        <f t="shared" si="103"/>
        <v/>
      </c>
      <c r="CH52" s="159" t="str">
        <f t="shared" si="103"/>
        <v/>
      </c>
      <c r="CI52" s="159" t="str">
        <f t="shared" si="105"/>
        <v/>
      </c>
      <c r="CJ52" s="159" t="str">
        <f t="shared" si="106"/>
        <v/>
      </c>
      <c r="CK52" s="160" t="str">
        <f t="shared" si="107"/>
        <v/>
      </c>
      <c r="CL52" s="159" t="str">
        <f t="shared" si="109"/>
        <v/>
      </c>
    </row>
    <row r="53" spans="6:90" ht="20.25" x14ac:dyDescent="0.25">
      <c r="F53" s="3">
        <v>2</v>
      </c>
      <c r="G53" s="64" t="str">
        <v>No more values:</v>
      </c>
      <c r="H53" s="65" t="str">
        <v>No more values:</v>
      </c>
      <c r="I53" s="157" t="str">
        <f>IF(OR($G53="",$G53=" ",ISTEXT($G53)),"",_xll.PITimeDat(Data_mbcb!I$48,Data_mbcb!$G53,"pi_server","interpolated"))</f>
        <v/>
      </c>
      <c r="J53" s="157" t="str">
        <f>IF(OR($G53="",$G53=" ",ISTEXT($G53)),"",_xll.PITimeDat(Data_mbcb!J$48,Data_mbcb!$G53,"pi_server","interpolated"))</f>
        <v/>
      </c>
      <c r="K53" s="157" t="str">
        <f>IF(OR($G53="",$G53=" ",ISTEXT($G53)),"",_xll.PITimeDat(Data_mbcb!K$48,Data_mbcb!$G53,"pi_server","interpolated"))</f>
        <v/>
      </c>
      <c r="L53" s="157" t="str">
        <f t="shared" ref="L53:L61" si="112">IFERROR(J53-K53,"")</f>
        <v/>
      </c>
      <c r="M53" s="157" t="str">
        <f>IF(OR($G53="",$G53=" ",ISTEXT($G53)),"",_xll.PITimeDat(Data_mbcb!M$48,Data_mbcb!$G53,"pi_server","interpolated"))</f>
        <v/>
      </c>
      <c r="N53" s="157" t="str">
        <f>IF(OR($G53="",$G53=" ",ISTEXT($G53)),"",_xll.PITimeDat(Data_mbcb!N$48,Data_mbcb!$G53,"pi_server","interpolated"))</f>
        <v/>
      </c>
      <c r="O53" s="157" t="str">
        <f t="shared" ref="O53:O61" si="113">IFERROR(M53-N53,"")</f>
        <v/>
      </c>
      <c r="P53" s="157" t="str">
        <f>IF(OR($G53="",$G53=" ",ISTEXT($G53)),"",_xll.PITimeDat(Data_mbcb!P$48,Data_mbcb!$G53,"pi_server","interpolated"))</f>
        <v/>
      </c>
      <c r="Q53" s="157" t="str">
        <f>IF(OR($G53="",$G53=" ",ISTEXT($G53)),"",_xll.PITimeDat(Data_mbcb!Q$48,Data_mbcb!$G53,"pi_server","interpolated"))</f>
        <v/>
      </c>
      <c r="R53" s="157" t="str">
        <f>IF(OR($G53="",$G53=" ",ISTEXT($G53)),"",_xll.PITimeDat(Data_mbcb!R$48,Data_mbcb!$G53,"pi_server","interpolated"))</f>
        <v/>
      </c>
      <c r="S53" s="157" t="str">
        <f>IF(OR($G53="",$G53=" ",ISTEXT($G53)),"",_xll.PITimeDat(Data_mbcb!S$48,Data_mbcb!$G53,"pi_server","interpolated"))</f>
        <v/>
      </c>
      <c r="T53" s="157" t="str">
        <f>IF(OR($G53="",$G53=" ",ISTEXT($G53)),"",_xll.PITimeDat(Data_mbcb!T$48,Data_mbcb!$G53,"pi_server","interpolated"))</f>
        <v/>
      </c>
      <c r="U53" s="157"/>
      <c r="V53" s="157" t="str">
        <f>IF(OR($G53="",$G53=" ",ISTEXT($G53)),"",_xll.PITimeDat(Data_mbcb!V$48,Data_mbcb!$G53,"pi_server","interpolated"))</f>
        <v/>
      </c>
      <c r="W53" s="157" t="str">
        <f>IF(OR($G53="",$G53=" ",ISTEXT($G53)),"",_xll.PITimeDat(Data_mbcb!W$48,Data_mbcb!$G53,"pi_server","interpolated"))</f>
        <v/>
      </c>
      <c r="X53" s="157" t="str">
        <f>IF(OR($G53="",$G53=" ",ISTEXT($G53)),"",_xll.PITimeDat(Data_mbcb!X$48,Data_mbcb!$G53,"pi_server","interpolated"))</f>
        <v/>
      </c>
      <c r="Y53" s="157" t="str">
        <f>IF(OR($G53="",$G53=" ",ISTEXT($G53)),"",_xll.PITimeDat(Data_mbcb!Y$48,Data_mbcb!$G53,"pi_server","interpolated"))</f>
        <v/>
      </c>
      <c r="Z53" s="157" t="str">
        <f>IF(OR($G53="",$G53=" ",ISTEXT($G53)),"",_xll.PITimeDat(Data_mbcb!Z$48,Data_mbcb!$G53,"pi_server","interpolated"))</f>
        <v/>
      </c>
      <c r="AA53" s="157" t="str">
        <f>IF(OR($G53="",$G53=" ",ISTEXT($G53)),"",_xll.PITimeDat(Data_mbcb!AA$48,Data_mbcb!$G53,"pi_server","interpolated"))</f>
        <v/>
      </c>
      <c r="AB53" s="157" t="str">
        <f>IF(OR($G53="",$G53=" ",ISTEXT($G53)),"",_xll.PITimeDat(Data_mbcb!AB$48,Data_mbcb!$G53,"pi_server","interpolated"))</f>
        <v/>
      </c>
      <c r="AC53" s="157" t="str">
        <f>IF(OR($G53="",$G53=" ",ISTEXT($G53)),"",_xll.PITimeDat(Data_mbcb!AC$48,Data_mbcb!$G53,"pi_server","interpolated"))</f>
        <v/>
      </c>
      <c r="AD53" s="157" t="str">
        <f>IF(OR($G53="",$G53=" ",ISTEXT($G53)),"",_xll.PITimeDat(Data_mbcb!AD$48,Data_mbcb!$G53,"pi_server","interpolated"))</f>
        <v/>
      </c>
      <c r="AE53" s="157" t="str">
        <f>IF(OR($G53="",$G53=" ",ISTEXT($G53)),"",_xll.PITimeDat(Data_mbcb!AE$48,Data_mbcb!$G53,"pi_server","interpolated"))</f>
        <v/>
      </c>
      <c r="AF53" s="157" t="str">
        <f>IF(OR($G53="",$G53=" ",ISTEXT($G53)),"",_xll.PITimeDat(Data_mbcb!AF$48,Data_mbcb!$G53,"pi_server","interpolated"))</f>
        <v/>
      </c>
      <c r="AG53" s="157" t="str">
        <f>IF(OR($G53="",$G53=" ",ISTEXT($G53)),"",_xll.PITimeDat(Data_mbcb!AG$48,Data_mbcb!$G53,"pi_server","interpolated"))</f>
        <v/>
      </c>
      <c r="AH53" s="157" t="str">
        <f>IF(OR($G53="",$G53=" ",ISTEXT($G53)),"",_xll.PITimeDat(Data_mbcb!AH$48,Data_mbcb!$G53,"pi_server","interpolated"))</f>
        <v/>
      </c>
      <c r="AI53" s="157" t="str">
        <f>IF(OR($G53="",$G53=" ",ISTEXT($G53)),"",_xll.PITimeDat(Data_mbcb!AI$48,Data_mbcb!$G53,"pi_server","interpolated"))</f>
        <v/>
      </c>
      <c r="AJ53" s="157" t="str">
        <f>IF(OR($G53="",$G53=" ",ISTEXT($G53)),"",_xll.PITimeDat(Data_mbcb!AJ$48,Data_mbcb!$G53,"pi_server","interpolated"))</f>
        <v/>
      </c>
      <c r="AK53" s="157" t="str">
        <f>IF(OR($G53="",$G53=" ",ISTEXT($G53)),"",_xll.PITimeDat(Data_mbcb!AK$31,Data_mbcb!$G53,"pi_server","interpolated"))</f>
        <v/>
      </c>
      <c r="AL53" s="157" t="str">
        <f>IF(OR($G53="",$G53=" ",ISTEXT($G53)),"",_xll.PITimeDat(Data_mbcb!AL$48,Data_mbcb!$G53,"pi_server","interpolated"))</f>
        <v/>
      </c>
      <c r="AM53" s="157"/>
      <c r="AN53" s="157" t="str">
        <f>IF(OR($G53="",$G53=" ",ISTEXT($G53)),"",_xll.PITimeDat(Data_mbcb!AN$48,Data_mbcb!$G53,"pi_server","interpolated"))</f>
        <v/>
      </c>
      <c r="AO53" s="157" t="str">
        <f>IF(OR($G53="",$G53=" ",ISTEXT($G53)),"",_xll.PITimeDat(Data_mbcb!AO$48,Data_mbcb!$G53,"pi_server","interpolated"))</f>
        <v/>
      </c>
      <c r="AP53" s="157" t="str">
        <f>IF(OR($G53="",$G53=" ",ISTEXT($G53)),"",_xll.PITimeDat(Data_mbcb!AP$48,Data_mbcb!$G53,"pi_server","interpolated"))</f>
        <v/>
      </c>
      <c r="AQ53" s="157" t="str">
        <f>IF(OR($G53="",$G53=" ",ISTEXT($G53)),"",_xll.PITimeDat(Data_mbcb!AQ$48,Data_mbcb!$G53,"pi_server","interpolated"))</f>
        <v/>
      </c>
      <c r="AR53" s="157" t="str">
        <f>IF(OR($G53="",$G53=" ",ISTEXT($G53)),"",_xll.PITimeDat(Data_mbcb!AR$48,Data_mbcb!$G53,"pi_server","interpolated"))</f>
        <v/>
      </c>
      <c r="AS53" s="68"/>
      <c r="AT53" s="12"/>
      <c r="AU53" s="12"/>
      <c r="AV53" s="12"/>
      <c r="AW53" s="6"/>
      <c r="AX53" s="3">
        <f t="shared" si="18"/>
        <v>0</v>
      </c>
      <c r="AY53" s="19" t="s">
        <v>150</v>
      </c>
      <c r="AZ53" s="9">
        <v>39</v>
      </c>
      <c r="BA53" s="17" t="str">
        <f t="shared" si="11"/>
        <v/>
      </c>
      <c r="BB53" s="90" t="s">
        <v>111</v>
      </c>
      <c r="BC53" s="20">
        <v>9</v>
      </c>
      <c r="BD53" s="158" t="str">
        <f t="shared" si="110"/>
        <v/>
      </c>
      <c r="BE53" s="159" t="str">
        <f t="shared" si="110"/>
        <v/>
      </c>
      <c r="BF53" s="159" t="str">
        <f t="shared" si="102"/>
        <v/>
      </c>
      <c r="BG53" s="159" t="str">
        <f t="shared" si="111"/>
        <v/>
      </c>
      <c r="BH53" s="159" t="str">
        <f t="shared" si="111"/>
        <v/>
      </c>
      <c r="BI53" s="159" t="str">
        <f t="shared" si="111"/>
        <v/>
      </c>
      <c r="BJ53" s="159" t="str">
        <f t="shared" si="111"/>
        <v/>
      </c>
      <c r="BK53" s="159" t="str">
        <f t="shared" si="111"/>
        <v/>
      </c>
      <c r="BL53" s="159" t="str">
        <f t="shared" si="111"/>
        <v/>
      </c>
      <c r="BM53" s="159" t="str">
        <f t="shared" si="111"/>
        <v/>
      </c>
      <c r="BN53" s="159" t="str">
        <f t="shared" si="111"/>
        <v/>
      </c>
      <c r="BO53" s="159" t="str">
        <f t="shared" si="111"/>
        <v/>
      </c>
      <c r="BP53" s="159" t="str">
        <f t="shared" si="111"/>
        <v/>
      </c>
      <c r="BQ53" s="159" t="str">
        <f t="shared" si="111"/>
        <v/>
      </c>
      <c r="BR53" s="159" t="str">
        <f t="shared" si="104"/>
        <v/>
      </c>
      <c r="BS53" s="159" t="str">
        <f t="shared" si="103"/>
        <v/>
      </c>
      <c r="BT53" s="159" t="str">
        <f t="shared" si="103"/>
        <v/>
      </c>
      <c r="BU53" s="159" t="str">
        <f t="shared" si="103"/>
        <v/>
      </c>
      <c r="BV53" s="159" t="str">
        <f t="shared" si="103"/>
        <v/>
      </c>
      <c r="BW53" s="159" t="str">
        <f t="shared" si="103"/>
        <v/>
      </c>
      <c r="BX53" s="159" t="str">
        <f t="shared" si="103"/>
        <v/>
      </c>
      <c r="BY53" s="159" t="str">
        <f t="shared" si="103"/>
        <v/>
      </c>
      <c r="BZ53" s="159" t="str">
        <f t="shared" si="103"/>
        <v/>
      </c>
      <c r="CA53" s="159" t="str">
        <f t="shared" si="103"/>
        <v/>
      </c>
      <c r="CB53" s="159" t="str">
        <f t="shared" si="103"/>
        <v/>
      </c>
      <c r="CC53" s="159" t="str">
        <f t="shared" si="103"/>
        <v/>
      </c>
      <c r="CD53" s="159" t="str">
        <f t="shared" si="103"/>
        <v/>
      </c>
      <c r="CE53" s="159" t="str">
        <f t="shared" si="103"/>
        <v/>
      </c>
      <c r="CF53" s="159" t="str">
        <f t="shared" si="103"/>
        <v/>
      </c>
      <c r="CG53" s="159" t="str">
        <f t="shared" si="103"/>
        <v/>
      </c>
      <c r="CH53" s="159" t="str">
        <f t="shared" si="103"/>
        <v/>
      </c>
      <c r="CI53" s="159" t="str">
        <f t="shared" si="105"/>
        <v/>
      </c>
      <c r="CJ53" s="159" t="str">
        <f t="shared" si="106"/>
        <v/>
      </c>
      <c r="CK53" s="160" t="str">
        <f t="shared" si="107"/>
        <v/>
      </c>
      <c r="CL53" s="159" t="str">
        <f t="shared" si="109"/>
        <v/>
      </c>
    </row>
    <row r="54" spans="6:90" ht="20.25" x14ac:dyDescent="0.25">
      <c r="F54" s="3">
        <v>3</v>
      </c>
      <c r="G54" s="64"/>
      <c r="H54" s="65"/>
      <c r="I54" s="157" t="str">
        <f>IF(OR($G54="",$G54=" ",ISTEXT($G54)),"",_xll.PITimeDat(Data_mbcb!I$48,Data_mbcb!$G54,"pi_server","interpolated"))</f>
        <v/>
      </c>
      <c r="J54" s="157" t="str">
        <f>IF(OR($G54="",$G54=" ",ISTEXT($G54)),"",_xll.PITimeDat(Data_mbcb!J$48,Data_mbcb!$G54,"pi_server","interpolated"))</f>
        <v/>
      </c>
      <c r="K54" s="157" t="str">
        <f>IF(OR($G54="",$G54=" ",ISTEXT($G54)),"",_xll.PITimeDat(Data_mbcb!K$48,Data_mbcb!$G54,"pi_server","interpolated"))</f>
        <v/>
      </c>
      <c r="L54" s="157" t="str">
        <f t="shared" si="112"/>
        <v/>
      </c>
      <c r="M54" s="157" t="str">
        <f>IF(OR($G54="",$G54=" ",ISTEXT($G54)),"",_xll.PITimeDat(Data_mbcb!M$48,Data_mbcb!$G54,"pi_server","interpolated"))</f>
        <v/>
      </c>
      <c r="N54" s="157" t="str">
        <f>IF(OR($G54="",$G54=" ",ISTEXT($G54)),"",_xll.PITimeDat(Data_mbcb!N$48,Data_mbcb!$G54,"pi_server","interpolated"))</f>
        <v/>
      </c>
      <c r="O54" s="157" t="str">
        <f t="shared" si="113"/>
        <v/>
      </c>
      <c r="P54" s="157" t="str">
        <f>IF(OR($G54="",$G54=" ",ISTEXT($G54)),"",_xll.PITimeDat(Data_mbcb!P$48,Data_mbcb!$G54,"pi_server","interpolated"))</f>
        <v/>
      </c>
      <c r="Q54" s="157" t="str">
        <f>IF(OR($G54="",$G54=" ",ISTEXT($G54)),"",_xll.PITimeDat(Data_mbcb!Q$48,Data_mbcb!$G54,"pi_server","interpolated"))</f>
        <v/>
      </c>
      <c r="R54" s="157" t="str">
        <f>IF(OR($G54="",$G54=" ",ISTEXT($G54)),"",_xll.PITimeDat(Data_mbcb!R$48,Data_mbcb!$G54,"pi_server","interpolated"))</f>
        <v/>
      </c>
      <c r="S54" s="157" t="str">
        <f>IF(OR($G54="",$G54=" ",ISTEXT($G54)),"",_xll.PITimeDat(Data_mbcb!S$48,Data_mbcb!$G54,"pi_server","interpolated"))</f>
        <v/>
      </c>
      <c r="T54" s="157" t="str">
        <f>IF(OR($G54="",$G54=" ",ISTEXT($G54)),"",_xll.PITimeDat(Data_mbcb!T$48,Data_mbcb!$G54,"pi_server","interpolated"))</f>
        <v/>
      </c>
      <c r="U54" s="123" t="str">
        <f>IF(ISTEXT(_xll.PIArcVal(Data!T$32,Data!$G54,0,"PI_SERVER","interpolated")),"",_xll.PIArcVal(Data!T$32,Data!$G54,0,"PI_SERVER","interpolated"))</f>
        <v/>
      </c>
      <c r="V54" s="157" t="str">
        <f>IF(OR($G54="",$G54=" ",ISTEXT($G54)),"",_xll.PITimeDat(Data_mbcb!V$48,Data_mbcb!$G54,"pi_server","interpolated"))</f>
        <v/>
      </c>
      <c r="W54" s="157" t="str">
        <f>IF(OR($G54="",$G54=" ",ISTEXT($G54)),"",_xll.PITimeDat(Data_mbcb!W$48,Data_mbcb!$G54,"pi_server","interpolated"))</f>
        <v/>
      </c>
      <c r="X54" s="157" t="str">
        <f>IF(OR($G54="",$G54=" ",ISTEXT($G54)),"",_xll.PITimeDat(Data_mbcb!X$48,Data_mbcb!$G54,"pi_server","interpolated"))</f>
        <v/>
      </c>
      <c r="Y54" s="157" t="str">
        <f>IF(OR($G54="",$G54=" ",ISTEXT($G54)),"",_xll.PITimeDat(Data_mbcb!Y$48,Data_mbcb!$G54,"pi_server","interpolated"))</f>
        <v/>
      </c>
      <c r="Z54" s="157" t="str">
        <f>IF(OR($G54="",$G54=" ",ISTEXT($G54)),"",_xll.PITimeDat(Data_mbcb!Z$48,Data_mbcb!$G54,"pi_server","interpolated"))</f>
        <v/>
      </c>
      <c r="AA54" s="157" t="str">
        <f>IF(OR($G54="",$G54=" ",ISTEXT($G54)),"",_xll.PITimeDat(Data_mbcb!AA$48,Data_mbcb!$G54,"pi_server","interpolated"))</f>
        <v/>
      </c>
      <c r="AB54" s="157" t="str">
        <f>IF(OR($G54="",$G54=" ",ISTEXT($G54)),"",_xll.PITimeDat(Data_mbcb!AB$48,Data_mbcb!$G54,"pi_server","interpolated"))</f>
        <v/>
      </c>
      <c r="AC54" s="157" t="str">
        <f>IF(OR($G54="",$G54=" ",ISTEXT($G54)),"",_xll.PITimeDat(Data_mbcb!AC$48,Data_mbcb!$G54,"pi_server","interpolated"))</f>
        <v/>
      </c>
      <c r="AD54" s="157" t="str">
        <f>IF(OR($G54="",$G54=" ",ISTEXT($G54)),"",_xll.PITimeDat(Data_mbcb!AD$48,Data_mbcb!$G54,"pi_server","interpolated"))</f>
        <v/>
      </c>
      <c r="AE54" s="157" t="str">
        <f>IF(OR($G54="",$G54=" ",ISTEXT($G54)),"",_xll.PITimeDat(Data_mbcb!AE$48,Data_mbcb!$G54,"pi_server","interpolated"))</f>
        <v/>
      </c>
      <c r="AF54" s="157" t="str">
        <f>IF(OR($G54="",$G54=" ",ISTEXT($G54)),"",_xll.PITimeDat(Data_mbcb!AF$48,Data_mbcb!$G54,"pi_server","interpolated"))</f>
        <v/>
      </c>
      <c r="AG54" s="157" t="str">
        <f>IF(OR($G54="",$G54=" ",ISTEXT($G54)),"",_xll.PITimeDat(Data_mbcb!AG$48,Data_mbcb!$G54,"pi_server","interpolated"))</f>
        <v/>
      </c>
      <c r="AH54" s="157" t="str">
        <f>IF(OR($G54="",$G54=" ",ISTEXT($G54)),"",_xll.PITimeDat(Data_mbcb!AH$48,Data_mbcb!$G54,"pi_server","interpolated"))</f>
        <v/>
      </c>
      <c r="AI54" s="157" t="str">
        <f>IF(OR($G54="",$G54=" ",ISTEXT($G54)),"",_xll.PITimeDat(Data_mbcb!AI$48,Data_mbcb!$G54,"pi_server","interpolated"))</f>
        <v/>
      </c>
      <c r="AJ54" s="157" t="str">
        <f>IF(OR($G54="",$G54=" ",ISTEXT($G54)),"",_xll.PITimeDat(Data_mbcb!AJ$48,Data_mbcb!$G54,"pi_server","interpolated"))</f>
        <v/>
      </c>
      <c r="AK54" s="157" t="str">
        <f>IF(OR($G54="",$G54=" ",ISTEXT($G54)),"",_xll.PITimeDat(Data_mbcb!AK$31,Data_mbcb!$G54,"pi_server","interpolated"))</f>
        <v/>
      </c>
      <c r="AL54" s="157" t="str">
        <f>IF(OR($G54="",$G54=" ",ISTEXT($G54)),"",_xll.PITimeDat(Data_mbcb!AL$48,Data_mbcb!$G54,"pi_server","interpolated"))</f>
        <v/>
      </c>
      <c r="AM54" s="66"/>
      <c r="AN54" s="157" t="str">
        <f>IF(OR($G54="",$G54=" ",ISTEXT($G54)),"",_xll.PITimeDat(Data_mbcb!AN$48,Data_mbcb!$G54,"pi_server","interpolated"))</f>
        <v/>
      </c>
      <c r="AO54" s="157" t="str">
        <f>IF(OR($G54="",$G54=" ",ISTEXT($G54)),"",_xll.PITimeDat(Data_mbcb!AO$48,Data_mbcb!$G54,"pi_server","interpolated"))</f>
        <v/>
      </c>
      <c r="AP54" s="157" t="str">
        <f>IF(OR($G54="",$G54=" ",ISTEXT($G54)),"",_xll.PITimeDat(Data_mbcb!AP$48,Data_mbcb!$G54,"pi_server","interpolated"))</f>
        <v/>
      </c>
      <c r="AQ54" s="157" t="str">
        <f>IF(OR($G54="",$G54=" ",ISTEXT($G54)),"",_xll.PITimeDat(Data_mbcb!AQ$48,Data_mbcb!$G54,"pi_server","interpolated"))</f>
        <v/>
      </c>
      <c r="AR54" s="157" t="str">
        <f>IF(OR($G54="",$G54=" ",ISTEXT($G54)),"",_xll.PITimeDat(Data_mbcb!AR$48,Data_mbcb!$G54,"pi_server","interpolated"))</f>
        <v/>
      </c>
      <c r="AS54" s="70"/>
      <c r="AT54" s="21"/>
      <c r="AU54" s="21"/>
      <c r="AV54" s="12"/>
      <c r="AW54" s="6"/>
      <c r="AX54" s="3">
        <f t="shared" si="18"/>
        <v>0</v>
      </c>
      <c r="AY54" s="19" t="s">
        <v>151</v>
      </c>
      <c r="AZ54" s="9">
        <v>40</v>
      </c>
      <c r="BA54" s="17" t="str">
        <f t="shared" si="11"/>
        <v/>
      </c>
      <c r="BB54" s="90" t="s">
        <v>111</v>
      </c>
      <c r="BC54" s="20">
        <v>10</v>
      </c>
      <c r="BD54" s="158" t="str">
        <f t="shared" si="110"/>
        <v/>
      </c>
      <c r="BE54" s="159" t="str">
        <f t="shared" si="110"/>
        <v/>
      </c>
      <c r="BF54" s="159" t="str">
        <f t="shared" si="102"/>
        <v/>
      </c>
      <c r="BG54" s="159" t="str">
        <f t="shared" si="111"/>
        <v/>
      </c>
      <c r="BH54" s="159" t="str">
        <f t="shared" si="111"/>
        <v/>
      </c>
      <c r="BI54" s="159" t="str">
        <f t="shared" si="111"/>
        <v/>
      </c>
      <c r="BJ54" s="159" t="str">
        <f t="shared" si="111"/>
        <v/>
      </c>
      <c r="BK54" s="159" t="str">
        <f t="shared" si="111"/>
        <v/>
      </c>
      <c r="BL54" s="159" t="str">
        <f t="shared" si="111"/>
        <v/>
      </c>
      <c r="BM54" s="159" t="str">
        <f t="shared" si="111"/>
        <v/>
      </c>
      <c r="BN54" s="159" t="str">
        <f t="shared" si="111"/>
        <v/>
      </c>
      <c r="BO54" s="159" t="str">
        <f t="shared" si="111"/>
        <v/>
      </c>
      <c r="BP54" s="159" t="str">
        <f t="shared" si="111"/>
        <v/>
      </c>
      <c r="BQ54" s="159" t="str">
        <f t="shared" si="111"/>
        <v/>
      </c>
      <c r="BR54" s="159" t="str">
        <f t="shared" si="104"/>
        <v/>
      </c>
      <c r="BS54" s="159" t="str">
        <f t="shared" si="103"/>
        <v/>
      </c>
      <c r="BT54" s="159" t="str">
        <f t="shared" si="103"/>
        <v/>
      </c>
      <c r="BU54" s="159" t="str">
        <f t="shared" si="103"/>
        <v/>
      </c>
      <c r="BV54" s="159" t="str">
        <f t="shared" si="103"/>
        <v/>
      </c>
      <c r="BW54" s="159" t="str">
        <f t="shared" si="103"/>
        <v/>
      </c>
      <c r="BX54" s="159" t="str">
        <f t="shared" si="103"/>
        <v/>
      </c>
      <c r="BY54" s="159" t="str">
        <f t="shared" si="103"/>
        <v/>
      </c>
      <c r="BZ54" s="159" t="str">
        <f t="shared" si="103"/>
        <v/>
      </c>
      <c r="CA54" s="159" t="str">
        <f t="shared" si="103"/>
        <v/>
      </c>
      <c r="CB54" s="159" t="str">
        <f t="shared" si="103"/>
        <v/>
      </c>
      <c r="CC54" s="159" t="str">
        <f t="shared" si="103"/>
        <v/>
      </c>
      <c r="CD54" s="159" t="str">
        <f t="shared" si="103"/>
        <v/>
      </c>
      <c r="CE54" s="159" t="str">
        <f t="shared" si="103"/>
        <v/>
      </c>
      <c r="CF54" s="159" t="str">
        <f t="shared" si="103"/>
        <v/>
      </c>
      <c r="CG54" s="159" t="str">
        <f t="shared" si="103"/>
        <v/>
      </c>
      <c r="CH54" s="159" t="str">
        <f t="shared" si="103"/>
        <v/>
      </c>
      <c r="CI54" s="159" t="str">
        <f t="shared" si="105"/>
        <v/>
      </c>
      <c r="CJ54" s="159" t="str">
        <f t="shared" si="106"/>
        <v/>
      </c>
      <c r="CK54" s="160" t="str">
        <f t="shared" si="107"/>
        <v/>
      </c>
      <c r="CL54" s="159" t="str">
        <f t="shared" si="109"/>
        <v/>
      </c>
    </row>
    <row r="55" spans="6:90" ht="20.25" x14ac:dyDescent="0.25">
      <c r="F55" s="3">
        <v>4</v>
      </c>
      <c r="G55" s="64"/>
      <c r="H55" s="65"/>
      <c r="I55" s="157" t="str">
        <f>IF(OR($G55="",$G55=" ",ISTEXT($G55)),"",_xll.PITimeDat(Data_mbcb!I$48,Data_mbcb!$G55,"pi_server","interpolated"))</f>
        <v/>
      </c>
      <c r="J55" s="157" t="str">
        <f>IF(OR($G55="",$G55=" ",ISTEXT($G55)),"",_xll.PITimeDat(Data_mbcb!J$48,Data_mbcb!$G55,"pi_server","interpolated"))</f>
        <v/>
      </c>
      <c r="K55" s="157" t="str">
        <f>IF(OR($G55="",$G55=" ",ISTEXT($G55)),"",_xll.PITimeDat(Data_mbcb!K$48,Data_mbcb!$G55,"pi_server","interpolated"))</f>
        <v/>
      </c>
      <c r="L55" s="157" t="str">
        <f t="shared" si="112"/>
        <v/>
      </c>
      <c r="M55" s="157" t="str">
        <f>IF(OR($G55="",$G55=" ",ISTEXT($G55)),"",_xll.PITimeDat(Data_mbcb!M$48,Data_mbcb!$G55,"pi_server","interpolated"))</f>
        <v/>
      </c>
      <c r="N55" s="157" t="str">
        <f>IF(OR($G55="",$G55=" ",ISTEXT($G55)),"",_xll.PITimeDat(Data_mbcb!N$48,Data_mbcb!$G55,"pi_server","interpolated"))</f>
        <v/>
      </c>
      <c r="O55" s="157" t="str">
        <f t="shared" si="113"/>
        <v/>
      </c>
      <c r="P55" s="157" t="str">
        <f>IF(OR($G55="",$G55=" ",ISTEXT($G55)),"",_xll.PITimeDat(Data_mbcb!P$48,Data_mbcb!$G55,"pi_server","interpolated"))</f>
        <v/>
      </c>
      <c r="Q55" s="157" t="str">
        <f>IF(OR($G55="",$G55=" ",ISTEXT($G55)),"",_xll.PITimeDat(Data_mbcb!Q$48,Data_mbcb!$G55,"pi_server","interpolated"))</f>
        <v/>
      </c>
      <c r="R55" s="157" t="str">
        <f>IF(OR($G55="",$G55=" ",ISTEXT($G55)),"",_xll.PITimeDat(Data_mbcb!R$48,Data_mbcb!$G55,"pi_server","interpolated"))</f>
        <v/>
      </c>
      <c r="S55" s="157" t="str">
        <f>IF(OR($G55="",$G55=" ",ISTEXT($G55)),"",_xll.PITimeDat(Data_mbcb!S$48,Data_mbcb!$G55,"pi_server","interpolated"))</f>
        <v/>
      </c>
      <c r="T55" s="157" t="str">
        <f>IF(OR($G55="",$G55=" ",ISTEXT($G55)),"",_xll.PITimeDat(Data_mbcb!T$48,Data_mbcb!$G55,"pi_server","interpolated"))</f>
        <v/>
      </c>
      <c r="U55" s="123" t="str">
        <f>IF(ISTEXT(_xll.PIArcVal(Data!T$32,Data!$G55,0,"PI_SERVER","interpolated")),"",_xll.PIArcVal(Data!T$32,Data!$G55,0,"PI_SERVER","interpolated"))</f>
        <v/>
      </c>
      <c r="V55" s="157" t="str">
        <f>IF(OR($G55="",$G55=" ",ISTEXT($G55)),"",_xll.PITimeDat(Data_mbcb!V$48,Data_mbcb!$G55,"pi_server","interpolated"))</f>
        <v/>
      </c>
      <c r="W55" s="157" t="str">
        <f>IF(OR($G55="",$G55=" ",ISTEXT($G55)),"",_xll.PITimeDat(Data_mbcb!W$48,Data_mbcb!$G55,"pi_server","interpolated"))</f>
        <v/>
      </c>
      <c r="X55" s="157" t="str">
        <f>IF(OR($G55="",$G55=" ",ISTEXT($G55)),"",_xll.PITimeDat(Data_mbcb!X$48,Data_mbcb!$G55,"pi_server","interpolated"))</f>
        <v/>
      </c>
      <c r="Y55" s="157" t="str">
        <f>IF(OR($G55="",$G55=" ",ISTEXT($G55)),"",_xll.PITimeDat(Data_mbcb!Y$48,Data_mbcb!$G55,"pi_server","interpolated"))</f>
        <v/>
      </c>
      <c r="Z55" s="157" t="str">
        <f>IF(OR($G55="",$G55=" ",ISTEXT($G55)),"",_xll.PITimeDat(Data_mbcb!Z$48,Data_mbcb!$G55,"pi_server","interpolated"))</f>
        <v/>
      </c>
      <c r="AA55" s="157" t="str">
        <f>IF(OR($G55="",$G55=" ",ISTEXT($G55)),"",_xll.PITimeDat(Data_mbcb!AA$48,Data_mbcb!$G55,"pi_server","interpolated"))</f>
        <v/>
      </c>
      <c r="AB55" s="157" t="str">
        <f>IF(OR($G55="",$G55=" ",ISTEXT($G55)),"",_xll.PITimeDat(Data_mbcb!AB$48,Data_mbcb!$G55,"pi_server","interpolated"))</f>
        <v/>
      </c>
      <c r="AC55" s="157" t="str">
        <f>IF(OR($G55="",$G55=" ",ISTEXT($G55)),"",_xll.PITimeDat(Data_mbcb!AC$48,Data_mbcb!$G55,"pi_server","interpolated"))</f>
        <v/>
      </c>
      <c r="AD55" s="157" t="str">
        <f>IF(OR($G55="",$G55=" ",ISTEXT($G55)),"",_xll.PITimeDat(Data_mbcb!AD$48,Data_mbcb!$G55,"pi_server","interpolated"))</f>
        <v/>
      </c>
      <c r="AE55" s="157" t="str">
        <f>IF(OR($G55="",$G55=" ",ISTEXT($G55)),"",_xll.PITimeDat(Data_mbcb!AE$48,Data_mbcb!$G55,"pi_server","interpolated"))</f>
        <v/>
      </c>
      <c r="AF55" s="157" t="str">
        <f>IF(OR($G55="",$G55=" ",ISTEXT($G55)),"",_xll.PITimeDat(Data_mbcb!AF$48,Data_mbcb!$G55,"pi_server","interpolated"))</f>
        <v/>
      </c>
      <c r="AG55" s="157" t="str">
        <f>IF(OR($G55="",$G55=" ",ISTEXT($G55)),"",_xll.PITimeDat(Data_mbcb!AG$48,Data_mbcb!$G55,"pi_server","interpolated"))</f>
        <v/>
      </c>
      <c r="AH55" s="157" t="str">
        <f>IF(OR($G55="",$G55=" ",ISTEXT($G55)),"",_xll.PITimeDat(Data_mbcb!AH$48,Data_mbcb!$G55,"pi_server","interpolated"))</f>
        <v/>
      </c>
      <c r="AI55" s="157" t="str">
        <f>IF(OR($G55="",$G55=" ",ISTEXT($G55)),"",_xll.PITimeDat(Data_mbcb!AI$48,Data_mbcb!$G55,"pi_server","interpolated"))</f>
        <v/>
      </c>
      <c r="AJ55" s="157" t="str">
        <f>IF(OR($G55="",$G55=" ",ISTEXT($G55)),"",_xll.PITimeDat(Data_mbcb!AJ$48,Data_mbcb!$G55,"pi_server","interpolated"))</f>
        <v/>
      </c>
      <c r="AK55" s="157" t="str">
        <f>IF(OR($G55="",$G55=" ",ISTEXT($G55)),"",_xll.PITimeDat(Data_mbcb!AK$31,Data_mbcb!$G55,"pi_server","interpolated"))</f>
        <v/>
      </c>
      <c r="AL55" s="157" t="str">
        <f>IF(OR($G55="",$G55=" ",ISTEXT($G55)),"",_xll.PITimeDat(Data_mbcb!AL$48,Data_mbcb!$G55,"pi_server","interpolated"))</f>
        <v/>
      </c>
      <c r="AM55" s="66"/>
      <c r="AN55" s="157" t="str">
        <f>IF(OR($G55="",$G55=" ",ISTEXT($G55)),"",_xll.PITimeDat(Data_mbcb!AN$48,Data_mbcb!$G55,"pi_server","interpolated"))</f>
        <v/>
      </c>
      <c r="AO55" s="157" t="str">
        <f>IF(OR($G55="",$G55=" ",ISTEXT($G55)),"",_xll.PITimeDat(Data_mbcb!AO$48,Data_mbcb!$G55,"pi_server","interpolated"))</f>
        <v/>
      </c>
      <c r="AP55" s="157" t="str">
        <f>IF(OR($G55="",$G55=" ",ISTEXT($G55)),"",_xll.PITimeDat(Data_mbcb!AP$48,Data_mbcb!$G55,"pi_server","interpolated"))</f>
        <v/>
      </c>
      <c r="AQ55" s="157" t="str">
        <f>IF(OR($G55="",$G55=" ",ISTEXT($G55)),"",_xll.PITimeDat(Data_mbcb!AQ$48,Data_mbcb!$G55,"pi_server","interpolated"))</f>
        <v/>
      </c>
      <c r="AR55" s="157" t="str">
        <f>IF(OR($G55="",$G55=" ",ISTEXT($G55)),"",_xll.PITimeDat(Data_mbcb!AR$48,Data_mbcb!$G55,"pi_server","interpolated"))</f>
        <v/>
      </c>
    </row>
    <row r="56" spans="6:90" ht="20.25" x14ac:dyDescent="0.25">
      <c r="F56" s="3">
        <v>5</v>
      </c>
      <c r="G56" s="64"/>
      <c r="H56" s="65"/>
      <c r="I56" s="157" t="str">
        <f>IF(OR($G56="",$G56=" ",ISTEXT($G56)),"",_xll.PITimeDat(Data_mbcb!I$48,Data_mbcb!$G56,"pi_server","interpolated"))</f>
        <v/>
      </c>
      <c r="J56" s="157" t="str">
        <f>IF(OR($G56="",$G56=" ",ISTEXT($G56)),"",_xll.PITimeDat(Data_mbcb!J$48,Data_mbcb!$G56,"pi_server","interpolated"))</f>
        <v/>
      </c>
      <c r="K56" s="157" t="str">
        <f>IF(OR($G56="",$G56=" ",ISTEXT($G56)),"",_xll.PITimeDat(Data_mbcb!K$48,Data_mbcb!$G56,"pi_server","interpolated"))</f>
        <v/>
      </c>
      <c r="L56" s="157" t="str">
        <f t="shared" si="112"/>
        <v/>
      </c>
      <c r="M56" s="157" t="str">
        <f>IF(OR($G56="",$G56=" ",ISTEXT($G56)),"",_xll.PITimeDat(Data_mbcb!M$48,Data_mbcb!$G56,"pi_server","interpolated"))</f>
        <v/>
      </c>
      <c r="N56" s="157" t="str">
        <f>IF(OR($G56="",$G56=" ",ISTEXT($G56)),"",_xll.PITimeDat(Data_mbcb!N$48,Data_mbcb!$G56,"pi_server","interpolated"))</f>
        <v/>
      </c>
      <c r="O56" s="157" t="str">
        <f t="shared" si="113"/>
        <v/>
      </c>
      <c r="P56" s="157" t="str">
        <f>IF(OR($G56="",$G56=" ",ISTEXT($G56)),"",_xll.PITimeDat(Data_mbcb!P$48,Data_mbcb!$G56,"pi_server","interpolated"))</f>
        <v/>
      </c>
      <c r="Q56" s="157" t="str">
        <f>IF(OR($G56="",$G56=" ",ISTEXT($G56)),"",_xll.PITimeDat(Data_mbcb!Q$48,Data_mbcb!$G56,"pi_server","interpolated"))</f>
        <v/>
      </c>
      <c r="R56" s="157" t="str">
        <f>IF(OR($G56="",$G56=" ",ISTEXT($G56)),"",_xll.PITimeDat(Data_mbcb!R$48,Data_mbcb!$G56,"pi_server","interpolated"))</f>
        <v/>
      </c>
      <c r="S56" s="157" t="str">
        <f>IF(OR($G56="",$G56=" ",ISTEXT($G56)),"",_xll.PITimeDat(Data_mbcb!S$48,Data_mbcb!$G56,"pi_server","interpolated"))</f>
        <v/>
      </c>
      <c r="T56" s="157" t="str">
        <f>IF(OR($G56="",$G56=" ",ISTEXT($G56)),"",_xll.PITimeDat(Data_mbcb!T$48,Data_mbcb!$G56,"pi_server","interpolated"))</f>
        <v/>
      </c>
      <c r="U56" s="123" t="str">
        <f>IF(ISTEXT(_xll.PIArcVal(Data!T$32,Data!$G56,0,"PI_SERVER","interpolated")),"",_xll.PIArcVal(Data!T$32,Data!$G56,0,"PI_SERVER","interpolated"))</f>
        <v/>
      </c>
      <c r="V56" s="157" t="str">
        <f>IF(OR($G56="",$G56=" ",ISTEXT($G56)),"",_xll.PITimeDat(Data_mbcb!V$48,Data_mbcb!$G56,"pi_server","interpolated"))</f>
        <v/>
      </c>
      <c r="W56" s="157" t="str">
        <f>IF(OR($G56="",$G56=" ",ISTEXT($G56)),"",_xll.PITimeDat(Data_mbcb!W$48,Data_mbcb!$G56,"pi_server","interpolated"))</f>
        <v/>
      </c>
      <c r="X56" s="157" t="str">
        <f>IF(OR($G56="",$G56=" ",ISTEXT($G56)),"",_xll.PITimeDat(Data_mbcb!X$48,Data_mbcb!$G56,"pi_server","interpolated"))</f>
        <v/>
      </c>
      <c r="Y56" s="157" t="str">
        <f>IF(OR($G56="",$G56=" ",ISTEXT($G56)),"",_xll.PITimeDat(Data_mbcb!Y$48,Data_mbcb!$G56,"pi_server","interpolated"))</f>
        <v/>
      </c>
      <c r="Z56" s="157" t="str">
        <f>IF(OR($G56="",$G56=" ",ISTEXT($G56)),"",_xll.PITimeDat(Data_mbcb!Z$48,Data_mbcb!$G56,"pi_server","interpolated"))</f>
        <v/>
      </c>
      <c r="AA56" s="157" t="str">
        <f>IF(OR($G56="",$G56=" ",ISTEXT($G56)),"",_xll.PITimeDat(Data_mbcb!AA$48,Data_mbcb!$G56,"pi_server","interpolated"))</f>
        <v/>
      </c>
      <c r="AB56" s="157" t="str">
        <f>IF(OR($G56="",$G56=" ",ISTEXT($G56)),"",_xll.PITimeDat(Data_mbcb!AB$48,Data_mbcb!$G56,"pi_server","interpolated"))</f>
        <v/>
      </c>
      <c r="AC56" s="157" t="str">
        <f>IF(OR($G56="",$G56=" ",ISTEXT($G56)),"",_xll.PITimeDat(Data_mbcb!AC$48,Data_mbcb!$G56,"pi_server","interpolated"))</f>
        <v/>
      </c>
      <c r="AD56" s="157" t="str">
        <f>IF(OR($G56="",$G56=" ",ISTEXT($G56)),"",_xll.PITimeDat(Data_mbcb!AD$48,Data_mbcb!$G56,"pi_server","interpolated"))</f>
        <v/>
      </c>
      <c r="AE56" s="157" t="str">
        <f>IF(OR($G56="",$G56=" ",ISTEXT($G56)),"",_xll.PITimeDat(Data_mbcb!AE$48,Data_mbcb!$G56,"pi_server","interpolated"))</f>
        <v/>
      </c>
      <c r="AF56" s="157" t="str">
        <f>IF(OR($G56="",$G56=" ",ISTEXT($G56)),"",_xll.PITimeDat(Data_mbcb!AF$48,Data_mbcb!$G56,"pi_server","interpolated"))</f>
        <v/>
      </c>
      <c r="AG56" s="157" t="str">
        <f>IF(OR($G56="",$G56=" ",ISTEXT($G56)),"",_xll.PITimeDat(Data_mbcb!AG$48,Data_mbcb!$G56,"pi_server","interpolated"))</f>
        <v/>
      </c>
      <c r="AH56" s="157" t="str">
        <f>IF(OR($G56="",$G56=" ",ISTEXT($G56)),"",_xll.PITimeDat(Data_mbcb!AH$48,Data_mbcb!$G56,"pi_server","interpolated"))</f>
        <v/>
      </c>
      <c r="AI56" s="157" t="str">
        <f>IF(OR($G56="",$G56=" ",ISTEXT($G56)),"",_xll.PITimeDat(Data_mbcb!AI$48,Data_mbcb!$G56,"pi_server","interpolated"))</f>
        <v/>
      </c>
      <c r="AJ56" s="157" t="str">
        <f>IF(OR($G56="",$G56=" ",ISTEXT($G56)),"",_xll.PITimeDat(Data_mbcb!AJ$48,Data_mbcb!$G56,"pi_server","interpolated"))</f>
        <v/>
      </c>
      <c r="AK56" s="157" t="str">
        <f>IF(OR($G56="",$G56=" ",ISTEXT($G56)),"",_xll.PITimeDat(Data_mbcb!AK$31,Data_mbcb!$G56,"pi_server","interpolated"))</f>
        <v/>
      </c>
      <c r="AL56" s="157" t="str">
        <f>IF(OR($G56="",$G56=" ",ISTEXT($G56)),"",_xll.PITimeDat(Data_mbcb!AL$48,Data_mbcb!$G56,"pi_server","interpolated"))</f>
        <v/>
      </c>
      <c r="AM56" s="66"/>
      <c r="AN56" s="157" t="str">
        <f>IF(OR($G56="",$G56=" ",ISTEXT($G56)),"",_xll.PITimeDat(Data_mbcb!AN$48,Data_mbcb!$G56,"pi_server","interpolated"))</f>
        <v/>
      </c>
      <c r="AO56" s="157" t="str">
        <f>IF(OR($G56="",$G56=" ",ISTEXT($G56)),"",_xll.PITimeDat(Data_mbcb!AO$48,Data_mbcb!$G56,"pi_server","interpolated"))</f>
        <v/>
      </c>
      <c r="AP56" s="157" t="str">
        <f>IF(OR($G56="",$G56=" ",ISTEXT($G56)),"",_xll.PITimeDat(Data_mbcb!AP$48,Data_mbcb!$G56,"pi_server","interpolated"))</f>
        <v/>
      </c>
      <c r="AQ56" s="157" t="str">
        <f>IF(OR($G56="",$G56=" ",ISTEXT($G56)),"",_xll.PITimeDat(Data_mbcb!AQ$48,Data_mbcb!$G56,"pi_server","interpolated"))</f>
        <v/>
      </c>
      <c r="AR56" s="157" t="str">
        <f>IF(OR($G56="",$G56=" ",ISTEXT($G56)),"",_xll.PITimeDat(Data_mbcb!AR$48,Data_mbcb!$G56,"pi_server","interpolated"))</f>
        <v/>
      </c>
    </row>
    <row r="57" spans="6:90" ht="20.25" x14ac:dyDescent="0.25">
      <c r="F57" s="3">
        <v>6</v>
      </c>
      <c r="G57" s="64"/>
      <c r="H57" s="65"/>
      <c r="I57" s="157" t="str">
        <f>IF(OR($G57="",$G57=" ",ISTEXT($G57)),"",_xll.PITimeDat(Data_mbcb!I$48,Data_mbcb!$G57,"pi_server","interpolated"))</f>
        <v/>
      </c>
      <c r="J57" s="157" t="str">
        <f>IF(OR($G57="",$G57=" ",ISTEXT($G57)),"",_xll.PITimeDat(Data_mbcb!J$48,Data_mbcb!$G57,"pi_server","interpolated"))</f>
        <v/>
      </c>
      <c r="K57" s="157" t="str">
        <f>IF(OR($G57="",$G57=" ",ISTEXT($G57)),"",_xll.PITimeDat(Data_mbcb!K$48,Data_mbcb!$G57,"pi_server","interpolated"))</f>
        <v/>
      </c>
      <c r="L57" s="157" t="str">
        <f t="shared" si="112"/>
        <v/>
      </c>
      <c r="M57" s="157" t="str">
        <f>IF(OR($G57="",$G57=" ",ISTEXT($G57)),"",_xll.PITimeDat(Data_mbcb!M$48,Data_mbcb!$G57,"pi_server","interpolated"))</f>
        <v/>
      </c>
      <c r="N57" s="157" t="str">
        <f>IF(OR($G57="",$G57=" ",ISTEXT($G57)),"",_xll.PITimeDat(Data_mbcb!N$48,Data_mbcb!$G57,"pi_server","interpolated"))</f>
        <v/>
      </c>
      <c r="O57" s="157" t="str">
        <f t="shared" si="113"/>
        <v/>
      </c>
      <c r="P57" s="157" t="str">
        <f>IF(OR($G57="",$G57=" ",ISTEXT($G57)),"",_xll.PITimeDat(Data_mbcb!P$48,Data_mbcb!$G57,"pi_server","interpolated"))</f>
        <v/>
      </c>
      <c r="Q57" s="157" t="str">
        <f>IF(OR($G57="",$G57=" ",ISTEXT($G57)),"",_xll.PITimeDat(Data_mbcb!Q$48,Data_mbcb!$G57,"pi_server","interpolated"))</f>
        <v/>
      </c>
      <c r="R57" s="157" t="str">
        <f>IF(OR($G57="",$G57=" ",ISTEXT($G57)),"",_xll.PITimeDat(Data_mbcb!R$48,Data_mbcb!$G57,"pi_server","interpolated"))</f>
        <v/>
      </c>
      <c r="S57" s="157" t="str">
        <f>IF(OR($G57="",$G57=" ",ISTEXT($G57)),"",_xll.PITimeDat(Data_mbcb!S$48,Data_mbcb!$G57,"pi_server","interpolated"))</f>
        <v/>
      </c>
      <c r="T57" s="157" t="str">
        <f>IF(OR($G57="",$G57=" ",ISTEXT($G57)),"",_xll.PITimeDat(Data_mbcb!T$48,Data_mbcb!$G57,"pi_server","interpolated"))</f>
        <v/>
      </c>
      <c r="U57" s="123" t="str">
        <f>IF(ISTEXT(_xll.PIArcVal(Data!T$32,Data!$G57,0,"PI_SERVER","interpolated")),"",_xll.PIArcVal(Data!T$32,Data!$G57,0,"PI_SERVER","interpolated"))</f>
        <v/>
      </c>
      <c r="V57" s="157" t="str">
        <f>IF(OR($G57="",$G57=" ",ISTEXT($G57)),"",_xll.PITimeDat(Data_mbcb!V$48,Data_mbcb!$G57,"pi_server","interpolated"))</f>
        <v/>
      </c>
      <c r="W57" s="157" t="str">
        <f>IF(OR($G57="",$G57=" ",ISTEXT($G57)),"",_xll.PITimeDat(Data_mbcb!W$48,Data_mbcb!$G57,"pi_server","interpolated"))</f>
        <v/>
      </c>
      <c r="X57" s="157" t="str">
        <f>IF(OR($G57="",$G57=" ",ISTEXT($G57)),"",_xll.PITimeDat(Data_mbcb!X$48,Data_mbcb!$G57,"pi_server","interpolated"))</f>
        <v/>
      </c>
      <c r="Y57" s="157" t="str">
        <f>IF(OR($G57="",$G57=" ",ISTEXT($G57)),"",_xll.PITimeDat(Data_mbcb!Y$48,Data_mbcb!$G57,"pi_server","interpolated"))</f>
        <v/>
      </c>
      <c r="Z57" s="157" t="str">
        <f>IF(OR($G57="",$G57=" ",ISTEXT($G57)),"",_xll.PITimeDat(Data_mbcb!Z$48,Data_mbcb!$G57,"pi_server","interpolated"))</f>
        <v/>
      </c>
      <c r="AA57" s="157" t="str">
        <f>IF(OR($G57="",$G57=" ",ISTEXT($G57)),"",_xll.PITimeDat(Data_mbcb!AA$48,Data_mbcb!$G57,"pi_server","interpolated"))</f>
        <v/>
      </c>
      <c r="AB57" s="157" t="str">
        <f>IF(OR($G57="",$G57=" ",ISTEXT($G57)),"",_xll.PITimeDat(Data_mbcb!AB$48,Data_mbcb!$G57,"pi_server","interpolated"))</f>
        <v/>
      </c>
      <c r="AC57" s="157" t="str">
        <f>IF(OR($G57="",$G57=" ",ISTEXT($G57)),"",_xll.PITimeDat(Data_mbcb!AC$48,Data_mbcb!$G57,"pi_server","interpolated"))</f>
        <v/>
      </c>
      <c r="AD57" s="157" t="str">
        <f>IF(OR($G57="",$G57=" ",ISTEXT($G57)),"",_xll.PITimeDat(Data_mbcb!AD$48,Data_mbcb!$G57,"pi_server","interpolated"))</f>
        <v/>
      </c>
      <c r="AE57" s="157" t="str">
        <f>IF(OR($G57="",$G57=" ",ISTEXT($G57)),"",_xll.PITimeDat(Data_mbcb!AE$48,Data_mbcb!$G57,"pi_server","interpolated"))</f>
        <v/>
      </c>
      <c r="AF57" s="157" t="str">
        <f>IF(OR($G57="",$G57=" ",ISTEXT($G57)),"",_xll.PITimeDat(Data_mbcb!AF$48,Data_mbcb!$G57,"pi_server","interpolated"))</f>
        <v/>
      </c>
      <c r="AG57" s="157" t="str">
        <f>IF(OR($G57="",$G57=" ",ISTEXT($G57)),"",_xll.PITimeDat(Data_mbcb!AG$48,Data_mbcb!$G57,"pi_server","interpolated"))</f>
        <v/>
      </c>
      <c r="AH57" s="157" t="str">
        <f>IF(OR($G57="",$G57=" ",ISTEXT($G57)),"",_xll.PITimeDat(Data_mbcb!AH$48,Data_mbcb!$G57,"pi_server","interpolated"))</f>
        <v/>
      </c>
      <c r="AI57" s="157" t="str">
        <f>IF(OR($G57="",$G57=" ",ISTEXT($G57)),"",_xll.PITimeDat(Data_mbcb!AI$48,Data_mbcb!$G57,"pi_server","interpolated"))</f>
        <v/>
      </c>
      <c r="AJ57" s="157" t="str">
        <f>IF(OR($G57="",$G57=" ",ISTEXT($G57)),"",_xll.PITimeDat(Data_mbcb!AJ$48,Data_mbcb!$G57,"pi_server","interpolated"))</f>
        <v/>
      </c>
      <c r="AK57" s="157" t="str">
        <f>IF(OR($G57="",$G57=" ",ISTEXT($G57)),"",_xll.PITimeDat(Data_mbcb!AK$31,Data_mbcb!$G57,"pi_server","interpolated"))</f>
        <v/>
      </c>
      <c r="AL57" s="157" t="str">
        <f>IF(OR($G57="",$G57=" ",ISTEXT($G57)),"",_xll.PITimeDat(Data_mbcb!AL$48,Data_mbcb!$G57,"pi_server","interpolated"))</f>
        <v/>
      </c>
      <c r="AM57" s="66"/>
      <c r="AN57" s="157" t="str">
        <f>IF(OR($G57="",$G57=" ",ISTEXT($G57)),"",_xll.PITimeDat(Data_mbcb!AN$48,Data_mbcb!$G57,"pi_server","interpolated"))</f>
        <v/>
      </c>
      <c r="AO57" s="157" t="str">
        <f>IF(OR($G57="",$G57=" ",ISTEXT($G57)),"",_xll.PITimeDat(Data_mbcb!AO$48,Data_mbcb!$G57,"pi_server","interpolated"))</f>
        <v/>
      </c>
      <c r="AP57" s="157" t="str">
        <f>IF(OR($G57="",$G57=" ",ISTEXT($G57)),"",_xll.PITimeDat(Data_mbcb!AP$48,Data_mbcb!$G57,"pi_server","interpolated"))</f>
        <v/>
      </c>
      <c r="AQ57" s="157" t="str">
        <f>IF(OR($G57="",$G57=" ",ISTEXT($G57)),"",_xll.PITimeDat(Data_mbcb!AQ$48,Data_mbcb!$G57,"pi_server","interpolated"))</f>
        <v/>
      </c>
      <c r="AR57" s="157" t="str">
        <f>IF(OR($G57="",$G57=" ",ISTEXT($G57)),"",_xll.PITimeDat(Data_mbcb!AR$48,Data_mbcb!$G57,"pi_server","interpolated"))</f>
        <v/>
      </c>
    </row>
    <row r="58" spans="6:90" ht="20.25" x14ac:dyDescent="0.25">
      <c r="F58" s="3">
        <v>7</v>
      </c>
      <c r="G58" s="64"/>
      <c r="H58" s="65"/>
      <c r="I58" s="157" t="str">
        <f>IF(OR($G58="",$G58=" ",ISTEXT($G58)),"",_xll.PITimeDat(Data_mbcb!I$48,Data_mbcb!$G58,"pi_server","interpolated"))</f>
        <v/>
      </c>
      <c r="J58" s="157" t="str">
        <f>IF(OR($G58="",$G58=" ",ISTEXT($G58)),"",_xll.PITimeDat(Data_mbcb!J$48,Data_mbcb!$G58,"pi_server","interpolated"))</f>
        <v/>
      </c>
      <c r="K58" s="157" t="str">
        <f>IF(OR($G58="",$G58=" ",ISTEXT($G58)),"",_xll.PITimeDat(Data_mbcb!K$48,Data_mbcb!$G58,"pi_server","interpolated"))</f>
        <v/>
      </c>
      <c r="L58" s="157" t="str">
        <f t="shared" si="112"/>
        <v/>
      </c>
      <c r="M58" s="157" t="str">
        <f>IF(OR($G58="",$G58=" ",ISTEXT($G58)),"",_xll.PITimeDat(Data_mbcb!M$48,Data_mbcb!$G58,"pi_server","interpolated"))</f>
        <v/>
      </c>
      <c r="N58" s="157" t="str">
        <f>IF(OR($G58="",$G58=" ",ISTEXT($G58)),"",_xll.PITimeDat(Data_mbcb!N$48,Data_mbcb!$G58,"pi_server","interpolated"))</f>
        <v/>
      </c>
      <c r="O58" s="157" t="str">
        <f t="shared" si="113"/>
        <v/>
      </c>
      <c r="P58" s="157" t="str">
        <f>IF(OR($G58="",$G58=" ",ISTEXT($G58)),"",_xll.PITimeDat(Data_mbcb!P$48,Data_mbcb!$G58,"pi_server","interpolated"))</f>
        <v/>
      </c>
      <c r="Q58" s="157" t="str">
        <f>IF(OR($G58="",$G58=" ",ISTEXT($G58)),"",_xll.PITimeDat(Data_mbcb!Q$48,Data_mbcb!$G58,"pi_server","interpolated"))</f>
        <v/>
      </c>
      <c r="R58" s="157" t="str">
        <f>IF(OR($G58="",$G58=" ",ISTEXT($G58)),"",_xll.PITimeDat(Data_mbcb!R$48,Data_mbcb!$G58,"pi_server","interpolated"))</f>
        <v/>
      </c>
      <c r="S58" s="157" t="str">
        <f>IF(OR($G58="",$G58=" ",ISTEXT($G58)),"",_xll.PITimeDat(Data_mbcb!S$48,Data_mbcb!$G58,"pi_server","interpolated"))</f>
        <v/>
      </c>
      <c r="T58" s="157" t="str">
        <f>IF(OR($G58="",$G58=" ",ISTEXT($G58)),"",_xll.PITimeDat(Data_mbcb!T$48,Data_mbcb!$G58,"pi_server","interpolated"))</f>
        <v/>
      </c>
      <c r="U58" s="123" t="str">
        <f>IF(ISTEXT(_xll.PIArcVal(Data!T$32,Data!$G58,0,"PI_SERVER","interpolated")),"",_xll.PIArcVal(Data!T$32,Data!$G58,0,"PI_SERVER","interpolated"))</f>
        <v/>
      </c>
      <c r="V58" s="157" t="str">
        <f>IF(OR($G58="",$G58=" ",ISTEXT($G58)),"",_xll.PITimeDat(Data_mbcb!V$48,Data_mbcb!$G58,"pi_server","interpolated"))</f>
        <v/>
      </c>
      <c r="W58" s="157" t="str">
        <f>IF(OR($G58="",$G58=" ",ISTEXT($G58)),"",_xll.PITimeDat(Data_mbcb!W$48,Data_mbcb!$G58,"pi_server","interpolated"))</f>
        <v/>
      </c>
      <c r="X58" s="157" t="str">
        <f>IF(OR($G58="",$G58=" ",ISTEXT($G58)),"",_xll.PITimeDat(Data_mbcb!X$48,Data_mbcb!$G58,"pi_server","interpolated"))</f>
        <v/>
      </c>
      <c r="Y58" s="157" t="str">
        <f>IF(OR($G58="",$G58=" ",ISTEXT($G58)),"",_xll.PITimeDat(Data_mbcb!Y$48,Data_mbcb!$G58,"pi_server","interpolated"))</f>
        <v/>
      </c>
      <c r="Z58" s="157" t="str">
        <f>IF(OR($G58="",$G58=" ",ISTEXT($G58)),"",_xll.PITimeDat(Data_mbcb!Z$48,Data_mbcb!$G58,"pi_server","interpolated"))</f>
        <v/>
      </c>
      <c r="AA58" s="157" t="str">
        <f>IF(OR($G58="",$G58=" ",ISTEXT($G58)),"",_xll.PITimeDat(Data_mbcb!AA$48,Data_mbcb!$G58,"pi_server","interpolated"))</f>
        <v/>
      </c>
      <c r="AB58" s="157" t="str">
        <f>IF(OR($G58="",$G58=" ",ISTEXT($G58)),"",_xll.PITimeDat(Data_mbcb!AB$48,Data_mbcb!$G58,"pi_server","interpolated"))</f>
        <v/>
      </c>
      <c r="AC58" s="157" t="str">
        <f>IF(OR($G58="",$G58=" ",ISTEXT($G58)),"",_xll.PITimeDat(Data_mbcb!AC$48,Data_mbcb!$G58,"pi_server","interpolated"))</f>
        <v/>
      </c>
      <c r="AD58" s="157" t="str">
        <f>IF(OR($G58="",$G58=" ",ISTEXT($G58)),"",_xll.PITimeDat(Data_mbcb!AD$48,Data_mbcb!$G58,"pi_server","interpolated"))</f>
        <v/>
      </c>
      <c r="AE58" s="157" t="str">
        <f>IF(OR($G58="",$G58=" ",ISTEXT($G58)),"",_xll.PITimeDat(Data_mbcb!AE$48,Data_mbcb!$G58,"pi_server","interpolated"))</f>
        <v/>
      </c>
      <c r="AF58" s="157" t="str">
        <f>IF(OR($G58="",$G58=" ",ISTEXT($G58)),"",_xll.PITimeDat(Data_mbcb!AF$48,Data_mbcb!$G58,"pi_server","interpolated"))</f>
        <v/>
      </c>
      <c r="AG58" s="157" t="str">
        <f>IF(OR($G58="",$G58=" ",ISTEXT($G58)),"",_xll.PITimeDat(Data_mbcb!AG$48,Data_mbcb!$G58,"pi_server","interpolated"))</f>
        <v/>
      </c>
      <c r="AH58" s="157" t="str">
        <f>IF(OR($G58="",$G58=" ",ISTEXT($G58)),"",_xll.PITimeDat(Data_mbcb!AH$48,Data_mbcb!$G58,"pi_server","interpolated"))</f>
        <v/>
      </c>
      <c r="AI58" s="157" t="str">
        <f>IF(OR($G58="",$G58=" ",ISTEXT($G58)),"",_xll.PITimeDat(Data_mbcb!AI$48,Data_mbcb!$G58,"pi_server","interpolated"))</f>
        <v/>
      </c>
      <c r="AJ58" s="157" t="str">
        <f>IF(OR($G58="",$G58=" ",ISTEXT($G58)),"",_xll.PITimeDat(Data_mbcb!AJ$48,Data_mbcb!$G58,"pi_server","interpolated"))</f>
        <v/>
      </c>
      <c r="AK58" s="157" t="str">
        <f>IF(OR($G58="",$G58=" ",ISTEXT($G58)),"",_xll.PITimeDat(Data_mbcb!AK$31,Data_mbcb!$G58,"pi_server","interpolated"))</f>
        <v/>
      </c>
      <c r="AL58" s="157" t="str">
        <f>IF(OR($G58="",$G58=" ",ISTEXT($G58)),"",_xll.PITimeDat(Data_mbcb!AL$48,Data_mbcb!$G58,"pi_server","interpolated"))</f>
        <v/>
      </c>
      <c r="AM58" s="66"/>
      <c r="AN58" s="157" t="str">
        <f>IF(OR($G58="",$G58=" ",ISTEXT($G58)),"",_xll.PITimeDat(Data_mbcb!AN$48,Data_mbcb!$G58,"pi_server","interpolated"))</f>
        <v/>
      </c>
      <c r="AO58" s="157" t="str">
        <f>IF(OR($G58="",$G58=" ",ISTEXT($G58)),"",_xll.PITimeDat(Data_mbcb!AO$48,Data_mbcb!$G58,"pi_server","interpolated"))</f>
        <v/>
      </c>
      <c r="AP58" s="157" t="str">
        <f>IF(OR($G58="",$G58=" ",ISTEXT($G58)),"",_xll.PITimeDat(Data_mbcb!AP$48,Data_mbcb!$G58,"pi_server","interpolated"))</f>
        <v/>
      </c>
      <c r="AQ58" s="157" t="str">
        <f>IF(OR($G58="",$G58=" ",ISTEXT($G58)),"",_xll.PITimeDat(Data_mbcb!AQ$48,Data_mbcb!$G58,"pi_server","interpolated"))</f>
        <v/>
      </c>
      <c r="AR58" s="157" t="str">
        <f>IF(OR($G58="",$G58=" ",ISTEXT($G58)),"",_xll.PITimeDat(Data_mbcb!AR$48,Data_mbcb!$G58,"pi_server","interpolated"))</f>
        <v/>
      </c>
    </row>
    <row r="59" spans="6:90" ht="20.25" x14ac:dyDescent="0.25">
      <c r="F59" s="3">
        <v>8</v>
      </c>
      <c r="G59" s="64"/>
      <c r="H59" s="65"/>
      <c r="I59" s="157" t="str">
        <f>IF(OR($G59="",$G59=" ",ISTEXT($G59)),"",_xll.PITimeDat(Data_mbcb!I$48,Data_mbcb!$G59,"pi_server","interpolated"))</f>
        <v/>
      </c>
      <c r="J59" s="157" t="str">
        <f>IF(OR($G59="",$G59=" ",ISTEXT($G59)),"",_xll.PITimeDat(Data_mbcb!J$48,Data_mbcb!$G59,"pi_server","interpolated"))</f>
        <v/>
      </c>
      <c r="K59" s="157" t="str">
        <f>IF(OR($G59="",$G59=" ",ISTEXT($G59)),"",_xll.PITimeDat(Data_mbcb!K$48,Data_mbcb!$G59,"pi_server","interpolated"))</f>
        <v/>
      </c>
      <c r="L59" s="157" t="str">
        <f t="shared" si="112"/>
        <v/>
      </c>
      <c r="M59" s="157" t="str">
        <f>IF(OR($G59="",$G59=" ",ISTEXT($G59)),"",_xll.PITimeDat(Data_mbcb!M$48,Data_mbcb!$G59,"pi_server","interpolated"))</f>
        <v/>
      </c>
      <c r="N59" s="157" t="str">
        <f>IF(OR($G59="",$G59=" ",ISTEXT($G59)),"",_xll.PITimeDat(Data_mbcb!N$48,Data_mbcb!$G59,"pi_server","interpolated"))</f>
        <v/>
      </c>
      <c r="O59" s="157" t="str">
        <f t="shared" si="113"/>
        <v/>
      </c>
      <c r="P59" s="157" t="str">
        <f>IF(OR($G59="",$G59=" ",ISTEXT($G59)),"",_xll.PITimeDat(Data_mbcb!P$48,Data_mbcb!$G59,"pi_server","interpolated"))</f>
        <v/>
      </c>
      <c r="Q59" s="157" t="str">
        <f>IF(OR($G59="",$G59=" ",ISTEXT($G59)),"",_xll.PITimeDat(Data_mbcb!Q$48,Data_mbcb!$G59,"pi_server","interpolated"))</f>
        <v/>
      </c>
      <c r="R59" s="157" t="str">
        <f>IF(OR($G59="",$G59=" ",ISTEXT($G59)),"",_xll.PITimeDat(Data_mbcb!R$48,Data_mbcb!$G59,"pi_server","interpolated"))</f>
        <v/>
      </c>
      <c r="S59" s="157" t="str">
        <f>IF(OR($G59="",$G59=" ",ISTEXT($G59)),"",_xll.PITimeDat(Data_mbcb!S$48,Data_mbcb!$G59,"pi_server","interpolated"))</f>
        <v/>
      </c>
      <c r="T59" s="157" t="str">
        <f>IF(OR($G59="",$G59=" ",ISTEXT($G59)),"",_xll.PITimeDat(Data_mbcb!T$48,Data_mbcb!$G59,"pi_server","interpolated"))</f>
        <v/>
      </c>
      <c r="U59" s="123" t="str">
        <f>IF(ISTEXT(_xll.PIArcVal(Data!T$32,Data!$G59,0,"PI_SERVER","interpolated")),"",_xll.PIArcVal(Data!T$32,Data!$G59,0,"PI_SERVER","interpolated"))</f>
        <v/>
      </c>
      <c r="V59" s="157" t="str">
        <f>IF(OR($G59="",$G59=" ",ISTEXT($G59)),"",_xll.PITimeDat(Data_mbcb!V$48,Data_mbcb!$G59,"pi_server","interpolated"))</f>
        <v/>
      </c>
      <c r="W59" s="157" t="str">
        <f>IF(OR($G59="",$G59=" ",ISTEXT($G59)),"",_xll.PITimeDat(Data_mbcb!W$48,Data_mbcb!$G59,"pi_server","interpolated"))</f>
        <v/>
      </c>
      <c r="X59" s="157" t="str">
        <f>IF(OR($G59="",$G59=" ",ISTEXT($G59)),"",_xll.PITimeDat(Data_mbcb!X$48,Data_mbcb!$G59,"pi_server","interpolated"))</f>
        <v/>
      </c>
      <c r="Y59" s="157" t="str">
        <f>IF(OR($G59="",$G59=" ",ISTEXT($G59)),"",_xll.PITimeDat(Data_mbcb!Y$48,Data_mbcb!$G59,"pi_server","interpolated"))</f>
        <v/>
      </c>
      <c r="Z59" s="157" t="str">
        <f>IF(OR($G59="",$G59=" ",ISTEXT($G59)),"",_xll.PITimeDat(Data_mbcb!Z$48,Data_mbcb!$G59,"pi_server","interpolated"))</f>
        <v/>
      </c>
      <c r="AA59" s="157" t="str">
        <f>IF(OR($G59="",$G59=" ",ISTEXT($G59)),"",_xll.PITimeDat(Data_mbcb!AA$48,Data_mbcb!$G59,"pi_server","interpolated"))</f>
        <v/>
      </c>
      <c r="AB59" s="157" t="str">
        <f>IF(OR($G59="",$G59=" ",ISTEXT($G59)),"",_xll.PITimeDat(Data_mbcb!AB$48,Data_mbcb!$G59,"pi_server","interpolated"))</f>
        <v/>
      </c>
      <c r="AC59" s="157" t="str">
        <f>IF(OR($G59="",$G59=" ",ISTEXT($G59)),"",_xll.PITimeDat(Data_mbcb!AC$48,Data_mbcb!$G59,"pi_server","interpolated"))</f>
        <v/>
      </c>
      <c r="AD59" s="157" t="str">
        <f>IF(OR($G59="",$G59=" ",ISTEXT($G59)),"",_xll.PITimeDat(Data_mbcb!AD$48,Data_mbcb!$G59,"pi_server","interpolated"))</f>
        <v/>
      </c>
      <c r="AE59" s="157" t="str">
        <f>IF(OR($G59="",$G59=" ",ISTEXT($G59)),"",_xll.PITimeDat(Data_mbcb!AE$48,Data_mbcb!$G59,"pi_server","interpolated"))</f>
        <v/>
      </c>
      <c r="AF59" s="157" t="str">
        <f>IF(OR($G59="",$G59=" ",ISTEXT($G59)),"",_xll.PITimeDat(Data_mbcb!AF$48,Data_mbcb!$G59,"pi_server","interpolated"))</f>
        <v/>
      </c>
      <c r="AG59" s="157" t="str">
        <f>IF(OR($G59="",$G59=" ",ISTEXT($G59)),"",_xll.PITimeDat(Data_mbcb!AG$48,Data_mbcb!$G59,"pi_server","interpolated"))</f>
        <v/>
      </c>
      <c r="AH59" s="157" t="str">
        <f>IF(OR($G59="",$G59=" ",ISTEXT($G59)),"",_xll.PITimeDat(Data_mbcb!AH$48,Data_mbcb!$G59,"pi_server","interpolated"))</f>
        <v/>
      </c>
      <c r="AI59" s="157" t="str">
        <f>IF(OR($G59="",$G59=" ",ISTEXT($G59)),"",_xll.PITimeDat(Data_mbcb!AI$48,Data_mbcb!$G59,"pi_server","interpolated"))</f>
        <v/>
      </c>
      <c r="AJ59" s="157" t="str">
        <f>IF(OR($G59="",$G59=" ",ISTEXT($G59)),"",_xll.PITimeDat(Data_mbcb!AJ$48,Data_mbcb!$G59,"pi_server","interpolated"))</f>
        <v/>
      </c>
      <c r="AK59" s="157" t="str">
        <f>IF(OR($G59="",$G59=" ",ISTEXT($G59)),"",_xll.PITimeDat(Data_mbcb!AK$31,Data_mbcb!$G59,"pi_server","interpolated"))</f>
        <v/>
      </c>
      <c r="AL59" s="157" t="str">
        <f>IF(OR($G59="",$G59=" ",ISTEXT($G59)),"",_xll.PITimeDat(Data_mbcb!AL$48,Data_mbcb!$G59,"pi_server","interpolated"))</f>
        <v/>
      </c>
      <c r="AM59" s="66"/>
      <c r="AN59" s="157" t="str">
        <f>IF(OR($G59="",$G59=" ",ISTEXT($G59)),"",_xll.PITimeDat(Data_mbcb!AN$48,Data_mbcb!$G59,"pi_server","interpolated"))</f>
        <v/>
      </c>
      <c r="AO59" s="157" t="str">
        <f>IF(OR($G59="",$G59=" ",ISTEXT($G59)),"",_xll.PITimeDat(Data_mbcb!AO$48,Data_mbcb!$G59,"pi_server","interpolated"))</f>
        <v/>
      </c>
      <c r="AP59" s="157" t="str">
        <f>IF(OR($G59="",$G59=" ",ISTEXT($G59)),"",_xll.PITimeDat(Data_mbcb!AP$48,Data_mbcb!$G59,"pi_server","interpolated"))</f>
        <v/>
      </c>
      <c r="AQ59" s="157" t="str">
        <f>IF(OR($G59="",$G59=" ",ISTEXT($G59)),"",_xll.PITimeDat(Data_mbcb!AQ$48,Data_mbcb!$G59,"pi_server","interpolated"))</f>
        <v/>
      </c>
      <c r="AR59" s="157" t="str">
        <f>IF(OR($G59="",$G59=" ",ISTEXT($G59)),"",_xll.PITimeDat(Data_mbcb!AR$48,Data_mbcb!$G59,"pi_server","interpolated"))</f>
        <v/>
      </c>
    </row>
    <row r="60" spans="6:90" ht="20.25" x14ac:dyDescent="0.25">
      <c r="F60" s="3">
        <v>9</v>
      </c>
      <c r="G60" s="64"/>
      <c r="H60" s="65"/>
      <c r="I60" s="157" t="str">
        <f>IF(OR($G60="",$G60=" ",ISTEXT($G60)),"",_xll.PITimeDat(Data_mbcb!I$48,Data_mbcb!$G60,"pi_server","interpolated"))</f>
        <v/>
      </c>
      <c r="J60" s="157" t="str">
        <f>IF(OR($G60="",$G60=" ",ISTEXT($G60)),"",_xll.PITimeDat(Data_mbcb!J$48,Data_mbcb!$G60,"pi_server","interpolated"))</f>
        <v/>
      </c>
      <c r="K60" s="157" t="str">
        <f>IF(OR($G60="",$G60=" ",ISTEXT($G60)),"",_xll.PITimeDat(Data_mbcb!K$48,Data_mbcb!$G60,"pi_server","interpolated"))</f>
        <v/>
      </c>
      <c r="L60" s="157" t="str">
        <f t="shared" si="112"/>
        <v/>
      </c>
      <c r="M60" s="157" t="str">
        <f>IF(OR($G60="",$G60=" ",ISTEXT($G60)),"",_xll.PITimeDat(Data_mbcb!M$48,Data_mbcb!$G60,"pi_server","interpolated"))</f>
        <v/>
      </c>
      <c r="N60" s="157" t="str">
        <f>IF(OR($G60="",$G60=" ",ISTEXT($G60)),"",_xll.PITimeDat(Data_mbcb!N$48,Data_mbcb!$G60,"pi_server","interpolated"))</f>
        <v/>
      </c>
      <c r="O60" s="157" t="str">
        <f t="shared" si="113"/>
        <v/>
      </c>
      <c r="P60" s="157" t="str">
        <f>IF(OR($G60="",$G60=" ",ISTEXT($G60)),"",_xll.PITimeDat(Data_mbcb!P$48,Data_mbcb!$G60,"pi_server","interpolated"))</f>
        <v/>
      </c>
      <c r="Q60" s="157" t="str">
        <f>IF(OR($G60="",$G60=" ",ISTEXT($G60)),"",_xll.PITimeDat(Data_mbcb!Q$48,Data_mbcb!$G60,"pi_server","interpolated"))</f>
        <v/>
      </c>
      <c r="R60" s="157" t="str">
        <f>IF(OR($G60="",$G60=" ",ISTEXT($G60)),"",_xll.PITimeDat(Data_mbcb!R$48,Data_mbcb!$G60,"pi_server","interpolated"))</f>
        <v/>
      </c>
      <c r="S60" s="157" t="str">
        <f>IF(OR($G60="",$G60=" ",ISTEXT($G60)),"",_xll.PITimeDat(Data_mbcb!S$48,Data_mbcb!$G60,"pi_server","interpolated"))</f>
        <v/>
      </c>
      <c r="T60" s="157" t="str">
        <f>IF(OR($G60="",$G60=" ",ISTEXT($G60)),"",_xll.PITimeDat(Data_mbcb!T$48,Data_mbcb!$G60,"pi_server","interpolated"))</f>
        <v/>
      </c>
      <c r="U60" s="123" t="str">
        <f>IF(ISTEXT(_xll.PIArcVal(Data!T$32,Data!$G60,0,"PI_SERVER","interpolated")),"",_xll.PIArcVal(Data!T$32,Data!$G60,0,"PI_SERVER","interpolated"))</f>
        <v/>
      </c>
      <c r="V60" s="157" t="str">
        <f>IF(OR($G60="",$G60=" ",ISTEXT($G60)),"",_xll.PITimeDat(Data_mbcb!V$48,Data_mbcb!$G60,"pi_server","interpolated"))</f>
        <v/>
      </c>
      <c r="W60" s="157" t="str">
        <f>IF(OR($G60="",$G60=" ",ISTEXT($G60)),"",_xll.PITimeDat(Data_mbcb!W$48,Data_mbcb!$G60,"pi_server","interpolated"))</f>
        <v/>
      </c>
      <c r="X60" s="157" t="str">
        <f>IF(OR($G60="",$G60=" ",ISTEXT($G60)),"",_xll.PITimeDat(Data_mbcb!X$48,Data_mbcb!$G60,"pi_server","interpolated"))</f>
        <v/>
      </c>
      <c r="Y60" s="157" t="str">
        <f>IF(OR($G60="",$G60=" ",ISTEXT($G60)),"",_xll.PITimeDat(Data_mbcb!Y$48,Data_mbcb!$G60,"pi_server","interpolated"))</f>
        <v/>
      </c>
      <c r="Z60" s="157" t="str">
        <f>IF(OR($G60="",$G60=" ",ISTEXT($G60)),"",_xll.PITimeDat(Data_mbcb!Z$48,Data_mbcb!$G60,"pi_server","interpolated"))</f>
        <v/>
      </c>
      <c r="AA60" s="157" t="str">
        <f>IF(OR($G60="",$G60=" ",ISTEXT($G60)),"",_xll.PITimeDat(Data_mbcb!AA$48,Data_mbcb!$G60,"pi_server","interpolated"))</f>
        <v/>
      </c>
      <c r="AB60" s="157" t="str">
        <f>IF(OR($G60="",$G60=" ",ISTEXT($G60)),"",_xll.PITimeDat(Data_mbcb!AB$48,Data_mbcb!$G60,"pi_server","interpolated"))</f>
        <v/>
      </c>
      <c r="AC60" s="157" t="str">
        <f>IF(OR($G60="",$G60=" ",ISTEXT($G60)),"",_xll.PITimeDat(Data_mbcb!AC$48,Data_mbcb!$G60,"pi_server","interpolated"))</f>
        <v/>
      </c>
      <c r="AD60" s="157" t="str">
        <f>IF(OR($G60="",$G60=" ",ISTEXT($G60)),"",_xll.PITimeDat(Data_mbcb!AD$48,Data_mbcb!$G60,"pi_server","interpolated"))</f>
        <v/>
      </c>
      <c r="AE60" s="157" t="str">
        <f>IF(OR($G60="",$G60=" ",ISTEXT($G60)),"",_xll.PITimeDat(Data_mbcb!AE$48,Data_mbcb!$G60,"pi_server","interpolated"))</f>
        <v/>
      </c>
      <c r="AF60" s="157" t="str">
        <f>IF(OR($G60="",$G60=" ",ISTEXT($G60)),"",_xll.PITimeDat(Data_mbcb!AF$48,Data_mbcb!$G60,"pi_server","interpolated"))</f>
        <v/>
      </c>
      <c r="AG60" s="157" t="str">
        <f>IF(OR($G60="",$G60=" ",ISTEXT($G60)),"",_xll.PITimeDat(Data_mbcb!AG$48,Data_mbcb!$G60,"pi_server","interpolated"))</f>
        <v/>
      </c>
      <c r="AH60" s="157" t="str">
        <f>IF(OR($G60="",$G60=" ",ISTEXT($G60)),"",_xll.PITimeDat(Data_mbcb!AH$48,Data_mbcb!$G60,"pi_server","interpolated"))</f>
        <v/>
      </c>
      <c r="AI60" s="157" t="str">
        <f>IF(OR($G60="",$G60=" ",ISTEXT($G60)),"",_xll.PITimeDat(Data_mbcb!AI$48,Data_mbcb!$G60,"pi_server","interpolated"))</f>
        <v/>
      </c>
      <c r="AJ60" s="157" t="str">
        <f>IF(OR($G60="",$G60=" ",ISTEXT($G60)),"",_xll.PITimeDat(Data_mbcb!AJ$48,Data_mbcb!$G60,"pi_server","interpolated"))</f>
        <v/>
      </c>
      <c r="AK60" s="157" t="str">
        <f>IF(OR($G60="",$G60=" ",ISTEXT($G60)),"",_xll.PITimeDat(Data_mbcb!AK$31,Data_mbcb!$G60,"pi_server","interpolated"))</f>
        <v/>
      </c>
      <c r="AL60" s="157" t="str">
        <f>IF(OR($G60="",$G60=" ",ISTEXT($G60)),"",_xll.PITimeDat(Data_mbcb!AL$48,Data_mbcb!$G60,"pi_server","interpolated"))</f>
        <v/>
      </c>
      <c r="AM60" s="66"/>
      <c r="AN60" s="157" t="str">
        <f>IF(OR($G60="",$G60=" ",ISTEXT($G60)),"",_xll.PITimeDat(Data_mbcb!AN$48,Data_mbcb!$G60,"pi_server","interpolated"))</f>
        <v/>
      </c>
      <c r="AO60" s="157" t="str">
        <f>IF(OR($G60="",$G60=" ",ISTEXT($G60)),"",_xll.PITimeDat(Data_mbcb!AO$48,Data_mbcb!$G60,"pi_server","interpolated"))</f>
        <v/>
      </c>
      <c r="AP60" s="157" t="str">
        <f>IF(OR($G60="",$G60=" ",ISTEXT($G60)),"",_xll.PITimeDat(Data_mbcb!AP$48,Data_mbcb!$G60,"pi_server","interpolated"))</f>
        <v/>
      </c>
      <c r="AQ60" s="157" t="str">
        <f>IF(OR($G60="",$G60=" ",ISTEXT($G60)),"",_xll.PITimeDat(Data_mbcb!AQ$48,Data_mbcb!$G60,"pi_server","interpolated"))</f>
        <v/>
      </c>
      <c r="AR60" s="157" t="str">
        <f>IF(OR($G60="",$G60=" ",ISTEXT($G60)),"",_xll.PITimeDat(Data_mbcb!AR$48,Data_mbcb!$G60,"pi_server","interpolated"))</f>
        <v/>
      </c>
    </row>
    <row r="61" spans="6:90" ht="20.25" x14ac:dyDescent="0.25">
      <c r="F61" s="3">
        <v>10</v>
      </c>
      <c r="G61" s="64"/>
      <c r="H61" s="65"/>
      <c r="I61" s="157" t="str">
        <f>IF(OR($G61="",$G61=" ",ISTEXT($G61)),"",_xll.PITimeDat(Data_mbcb!I$48,Data_mbcb!$G61,"pi_server","interpolated"))</f>
        <v/>
      </c>
      <c r="J61" s="157" t="str">
        <f>IF(OR($G61="",$G61=" ",ISTEXT($G61)),"",_xll.PITimeDat(Data_mbcb!J$48,Data_mbcb!$G61,"pi_server","interpolated"))</f>
        <v/>
      </c>
      <c r="K61" s="157" t="str">
        <f>IF(OR($G61="",$G61=" ",ISTEXT($G61)),"",_xll.PITimeDat(Data_mbcb!K$48,Data_mbcb!$G61,"pi_server","interpolated"))</f>
        <v/>
      </c>
      <c r="L61" s="157" t="str">
        <f t="shared" si="112"/>
        <v/>
      </c>
      <c r="M61" s="157" t="str">
        <f>IF(OR($G61="",$G61=" ",ISTEXT($G61)),"",_xll.PITimeDat(Data_mbcb!M$48,Data_mbcb!$G61,"pi_server","interpolated"))</f>
        <v/>
      </c>
      <c r="N61" s="157" t="str">
        <f>IF(OR($G61="",$G61=" ",ISTEXT($G61)),"",_xll.PITimeDat(Data_mbcb!N$48,Data_mbcb!$G61,"pi_server","interpolated"))</f>
        <v/>
      </c>
      <c r="O61" s="157" t="str">
        <f t="shared" si="113"/>
        <v/>
      </c>
      <c r="P61" s="157" t="str">
        <f>IF(OR($G61="",$G61=" ",ISTEXT($G61)),"",_xll.PITimeDat(Data_mbcb!P$48,Data_mbcb!$G61,"pi_server","interpolated"))</f>
        <v/>
      </c>
      <c r="Q61" s="157" t="str">
        <f>IF(OR($G61="",$G61=" ",ISTEXT($G61)),"",_xll.PITimeDat(Data_mbcb!Q$48,Data_mbcb!$G61,"pi_server","interpolated"))</f>
        <v/>
      </c>
      <c r="R61" s="157" t="str">
        <f>IF(OR($G61="",$G61=" ",ISTEXT($G61)),"",_xll.PITimeDat(Data_mbcb!R$48,Data_mbcb!$G61,"pi_server","interpolated"))</f>
        <v/>
      </c>
      <c r="S61" s="157" t="str">
        <f>IF(OR($G61="",$G61=" ",ISTEXT($G61)),"",_xll.PITimeDat(Data_mbcb!S$48,Data_mbcb!$G61,"pi_server","interpolated"))</f>
        <v/>
      </c>
      <c r="T61" s="157" t="str">
        <f>IF(OR($G61="",$G61=" ",ISTEXT($G61)),"",_xll.PITimeDat(Data_mbcb!T$48,Data_mbcb!$G61,"pi_server","interpolated"))</f>
        <v/>
      </c>
      <c r="U61" s="123" t="str">
        <f>IF(ISTEXT(_xll.PIArcVal(Data!T$32,Data!$G61,0,"PI_SERVER","interpolated")),"",_xll.PIArcVal(Data!T$32,Data!$G61,0,"PI_SERVER","interpolated"))</f>
        <v/>
      </c>
      <c r="V61" s="157" t="str">
        <f>IF(OR($G61="",$G61=" ",ISTEXT($G61)),"",_xll.PITimeDat(Data_mbcb!V$48,Data_mbcb!$G61,"pi_server","interpolated"))</f>
        <v/>
      </c>
      <c r="W61" s="157" t="str">
        <f>IF(OR($G61="",$G61=" ",ISTEXT($G61)),"",_xll.PITimeDat(Data_mbcb!W$48,Data_mbcb!$G61,"pi_server","interpolated"))</f>
        <v/>
      </c>
      <c r="X61" s="157" t="str">
        <f>IF(OR($G61="",$G61=" ",ISTEXT($G61)),"",_xll.PITimeDat(Data_mbcb!X$48,Data_mbcb!$G61,"pi_server","interpolated"))</f>
        <v/>
      </c>
      <c r="Y61" s="157" t="str">
        <f>IF(OR($G61="",$G61=" ",ISTEXT($G61)),"",_xll.PITimeDat(Data_mbcb!Y$48,Data_mbcb!$G61,"pi_server","interpolated"))</f>
        <v/>
      </c>
      <c r="Z61" s="157" t="str">
        <f>IF(OR($G61="",$G61=" ",ISTEXT($G61)),"",_xll.PITimeDat(Data_mbcb!Z$48,Data_mbcb!$G61,"pi_server","interpolated"))</f>
        <v/>
      </c>
      <c r="AA61" s="157" t="str">
        <f>IF(OR($G61="",$G61=" ",ISTEXT($G61)),"",_xll.PITimeDat(Data_mbcb!AA$48,Data_mbcb!$G61,"pi_server","interpolated"))</f>
        <v/>
      </c>
      <c r="AB61" s="157" t="str">
        <f>IF(OR($G61="",$G61=" ",ISTEXT($G61)),"",_xll.PITimeDat(Data_mbcb!AB$48,Data_mbcb!$G61,"pi_server","interpolated"))</f>
        <v/>
      </c>
      <c r="AC61" s="157" t="str">
        <f>IF(OR($G61="",$G61=" ",ISTEXT($G61)),"",_xll.PITimeDat(Data_mbcb!AC$48,Data_mbcb!$G61,"pi_server","interpolated"))</f>
        <v/>
      </c>
      <c r="AD61" s="157" t="str">
        <f>IF(OR($G61="",$G61=" ",ISTEXT($G61)),"",_xll.PITimeDat(Data_mbcb!AD$48,Data_mbcb!$G61,"pi_server","interpolated"))</f>
        <v/>
      </c>
      <c r="AE61" s="157" t="str">
        <f>IF(OR($G61="",$G61=" ",ISTEXT($G61)),"",_xll.PITimeDat(Data_mbcb!AE$48,Data_mbcb!$G61,"pi_server","interpolated"))</f>
        <v/>
      </c>
      <c r="AF61" s="157" t="str">
        <f>IF(OR($G61="",$G61=" ",ISTEXT($G61)),"",_xll.PITimeDat(Data_mbcb!AF$48,Data_mbcb!$G61,"pi_server","interpolated"))</f>
        <v/>
      </c>
      <c r="AG61" s="157" t="str">
        <f>IF(OR($G61="",$G61=" ",ISTEXT($G61)),"",_xll.PITimeDat(Data_mbcb!AG$48,Data_mbcb!$G61,"pi_server","interpolated"))</f>
        <v/>
      </c>
      <c r="AH61" s="157" t="str">
        <f>IF(OR($G61="",$G61=" ",ISTEXT($G61)),"",_xll.PITimeDat(Data_mbcb!AH$48,Data_mbcb!$G61,"pi_server","interpolated"))</f>
        <v/>
      </c>
      <c r="AI61" s="157" t="str">
        <f>IF(OR($G61="",$G61=" ",ISTEXT($G61)),"",_xll.PITimeDat(Data_mbcb!AI$48,Data_mbcb!$G61,"pi_server","interpolated"))</f>
        <v/>
      </c>
      <c r="AJ61" s="157" t="str">
        <f>IF(OR($G61="",$G61=" ",ISTEXT($G61)),"",_xll.PITimeDat(Data_mbcb!AJ$48,Data_mbcb!$G61,"pi_server","interpolated"))</f>
        <v/>
      </c>
      <c r="AK61" s="157" t="str">
        <f>IF(OR($G61="",$G61=" ",ISTEXT($G61)),"",_xll.PITimeDat(Data_mbcb!AK$31,Data_mbcb!$G61,"pi_server","interpolated"))</f>
        <v/>
      </c>
      <c r="AL61" s="157" t="str">
        <f>IF(OR($G61="",$G61=" ",ISTEXT($G61)),"",_xll.PITimeDat(Data_mbcb!AL$48,Data_mbcb!$G61,"pi_server","interpolated"))</f>
        <v/>
      </c>
      <c r="AM61" s="66"/>
      <c r="AN61" s="157" t="str">
        <f>IF(OR($G61="",$G61=" ",ISTEXT($G61)),"",_xll.PITimeDat(Data_mbcb!AN$48,Data_mbcb!$G61,"pi_server","interpolated"))</f>
        <v/>
      </c>
      <c r="AO61" s="157" t="str">
        <f>IF(OR($G61="",$G61=" ",ISTEXT($G61)),"",_xll.PITimeDat(Data_mbcb!AO$48,Data_mbcb!$G61,"pi_server","interpolated"))</f>
        <v/>
      </c>
      <c r="AP61" s="157" t="str">
        <f>IF(OR($G61="",$G61=" ",ISTEXT($G61)),"",_xll.PITimeDat(Data_mbcb!AP$48,Data_mbcb!$G61,"pi_server","interpolated"))</f>
        <v/>
      </c>
      <c r="AQ61" s="157" t="str">
        <f>IF(OR($G61="",$G61=" ",ISTEXT($G61)),"",_xll.PITimeDat(Data_mbcb!AQ$48,Data_mbcb!$G61,"pi_server","interpolated"))</f>
        <v/>
      </c>
      <c r="AR61" s="157" t="str">
        <f>IF(OR($G61="",$G61=" ",ISTEXT($G61)),"",_xll.PITimeDat(Data_mbcb!AR$48,Data_mbcb!$G61,"pi_server","interpolated"))</f>
        <v/>
      </c>
    </row>
    <row r="65" spans="6:44" ht="51.75" x14ac:dyDescent="0.25">
      <c r="F65" s="3"/>
      <c r="G65" s="294" t="s">
        <v>45</v>
      </c>
      <c r="H65" s="1" t="s">
        <v>68</v>
      </c>
      <c r="I65" s="182" t="s">
        <v>249</v>
      </c>
      <c r="J65" s="144" t="s">
        <v>179</v>
      </c>
      <c r="K65" s="144" t="s">
        <v>70</v>
      </c>
      <c r="L65" s="144"/>
      <c r="M65" s="144" t="s">
        <v>69</v>
      </c>
      <c r="N65" s="144" t="s">
        <v>180</v>
      </c>
      <c r="O65" s="144"/>
      <c r="P65" s="145" t="s">
        <v>71</v>
      </c>
      <c r="Q65" s="146" t="s">
        <v>228</v>
      </c>
      <c r="R65" s="146" t="s">
        <v>73</v>
      </c>
      <c r="S65" s="146" t="s">
        <v>269</v>
      </c>
      <c r="T65" s="146" t="s">
        <v>229</v>
      </c>
      <c r="U65" s="147" t="s">
        <v>166</v>
      </c>
      <c r="V65" s="146" t="s">
        <v>182</v>
      </c>
      <c r="W65" s="148" t="s">
        <v>75</v>
      </c>
      <c r="X65" s="148" t="s">
        <v>76</v>
      </c>
      <c r="Y65" s="146" t="s">
        <v>77</v>
      </c>
      <c r="Z65" s="146" t="s">
        <v>78</v>
      </c>
      <c r="AA65" s="146" t="s">
        <v>79</v>
      </c>
      <c r="AB65" s="148" t="s">
        <v>80</v>
      </c>
      <c r="AC65" s="148" t="s">
        <v>81</v>
      </c>
      <c r="AD65" s="149" t="s">
        <v>82</v>
      </c>
      <c r="AE65" s="146" t="s">
        <v>84</v>
      </c>
      <c r="AF65" s="146" t="s">
        <v>230</v>
      </c>
      <c r="AG65" s="150" t="s">
        <v>83</v>
      </c>
      <c r="AH65" s="146" t="s">
        <v>85</v>
      </c>
      <c r="AI65" s="146" t="s">
        <v>86</v>
      </c>
      <c r="AJ65" s="146" t="s">
        <v>74</v>
      </c>
      <c r="AK65" s="146" t="s">
        <v>231</v>
      </c>
      <c r="AL65" s="219" t="s">
        <v>257</v>
      </c>
      <c r="AM65" s="147" t="s">
        <v>166</v>
      </c>
      <c r="AN65" s="2" t="s">
        <v>87</v>
      </c>
      <c r="AO65" s="30" t="s">
        <v>157</v>
      </c>
      <c r="AP65" s="225" t="s">
        <v>262</v>
      </c>
      <c r="AQ65" s="30" t="s">
        <v>207</v>
      </c>
      <c r="AR65" s="178" t="s">
        <v>241</v>
      </c>
    </row>
    <row r="66" spans="6:44" ht="18" x14ac:dyDescent="0.25">
      <c r="F66" s="3"/>
      <c r="G66" s="294"/>
      <c r="H66" s="284" t="str">
        <f>H$9</f>
        <v>CYCLE</v>
      </c>
      <c r="I66" s="370" t="str">
        <f t="shared" ref="I66:O66" si="114">I$10</f>
        <v>MATTE GRADE</v>
      </c>
      <c r="J66" s="370" t="str">
        <f t="shared" si="114"/>
        <v>MATTE PRODUCED</v>
      </c>
      <c r="K66" s="370" t="str">
        <f t="shared" si="114"/>
        <v>MATTE TREATED</v>
      </c>
      <c r="L66" s="370" t="str">
        <f t="shared" si="114"/>
        <v>MATTE SKULL PRODUCTION</v>
      </c>
      <c r="M66" s="370" t="str">
        <f t="shared" si="114"/>
        <v>BLISTER PRODUCED</v>
      </c>
      <c r="N66" s="370" t="str">
        <f t="shared" si="114"/>
        <v>BLISTER TREATED</v>
      </c>
      <c r="O66" s="370" t="str">
        <f t="shared" si="114"/>
        <v>BLISTER SKULL PRODUCTION</v>
      </c>
      <c r="P66" s="373" t="s">
        <v>6</v>
      </c>
      <c r="Q66" s="373"/>
      <c r="R66" s="373"/>
      <c r="S66" s="373"/>
      <c r="T66" s="373"/>
      <c r="U66" s="373"/>
      <c r="V66" s="373"/>
      <c r="W66" s="373"/>
      <c r="X66" s="373"/>
      <c r="Y66" s="373"/>
      <c r="Z66" s="373"/>
      <c r="AA66" s="373"/>
      <c r="AB66" s="373"/>
      <c r="AC66" s="373"/>
      <c r="AD66" s="373"/>
      <c r="AE66" s="373"/>
      <c r="AF66" s="373"/>
      <c r="AG66" s="373"/>
      <c r="AH66" s="373"/>
      <c r="AI66" s="110"/>
      <c r="AJ66" s="3"/>
      <c r="AK66" s="3"/>
      <c r="AL66" s="3"/>
      <c r="AM66" s="3"/>
      <c r="AN66" s="3"/>
      <c r="AO66" s="3"/>
      <c r="AP66" s="3"/>
      <c r="AQ66" s="3"/>
    </row>
    <row r="67" spans="6:44" ht="15.75" x14ac:dyDescent="0.25">
      <c r="F67" s="3"/>
      <c r="G67" s="294"/>
      <c r="H67" s="285"/>
      <c r="I67" s="371"/>
      <c r="J67" s="371"/>
      <c r="K67" s="371"/>
      <c r="L67" s="371"/>
      <c r="M67" s="371"/>
      <c r="N67" s="371"/>
      <c r="O67" s="371"/>
      <c r="P67" s="374" t="s">
        <v>24</v>
      </c>
      <c r="Q67" s="374"/>
      <c r="R67" s="374"/>
      <c r="S67" s="374"/>
      <c r="T67" s="151"/>
      <c r="U67" s="374" t="s">
        <v>25</v>
      </c>
      <c r="V67" s="374"/>
      <c r="W67" s="374"/>
      <c r="X67" s="374"/>
      <c r="Y67" s="374"/>
      <c r="Z67" s="374"/>
      <c r="AA67" s="374"/>
      <c r="AB67" s="374"/>
      <c r="AC67" s="374"/>
      <c r="AD67" s="374"/>
      <c r="AE67" s="374"/>
      <c r="AF67" s="374"/>
      <c r="AG67" s="374"/>
      <c r="AH67" s="374"/>
      <c r="AI67" s="119"/>
      <c r="AJ67" s="8"/>
      <c r="AK67" s="8"/>
      <c r="AL67" s="8"/>
      <c r="AM67" s="8"/>
      <c r="AN67" s="8"/>
      <c r="AO67" s="8"/>
      <c r="AP67" s="8"/>
      <c r="AQ67" s="8"/>
    </row>
    <row r="68" spans="6:44" ht="38.25" x14ac:dyDescent="0.25">
      <c r="F68" s="3"/>
      <c r="G68" s="3"/>
      <c r="H68" s="295"/>
      <c r="I68" s="372"/>
      <c r="J68" s="372"/>
      <c r="K68" s="372"/>
      <c r="L68" s="372"/>
      <c r="M68" s="372"/>
      <c r="N68" s="372"/>
      <c r="O68" s="372"/>
      <c r="P68" s="152" t="s">
        <v>7</v>
      </c>
      <c r="Q68" s="152" t="s">
        <v>8</v>
      </c>
      <c r="R68" s="152" t="s">
        <v>10</v>
      </c>
      <c r="S68" s="152" t="s">
        <v>9</v>
      </c>
      <c r="T68" s="152" t="s">
        <v>219</v>
      </c>
      <c r="U68" s="152"/>
      <c r="V68" s="152" t="s">
        <v>9</v>
      </c>
      <c r="W68" s="152" t="s">
        <v>12</v>
      </c>
      <c r="X68" s="152" t="s">
        <v>13</v>
      </c>
      <c r="Y68" s="152" t="s">
        <v>14</v>
      </c>
      <c r="Z68" s="152" t="s">
        <v>15</v>
      </c>
      <c r="AA68" s="152" t="s">
        <v>16</v>
      </c>
      <c r="AB68" s="152" t="s">
        <v>17</v>
      </c>
      <c r="AC68" s="152" t="s">
        <v>18</v>
      </c>
      <c r="AD68" s="152" t="s">
        <v>19</v>
      </c>
      <c r="AE68" s="152" t="s">
        <v>21</v>
      </c>
      <c r="AF68" s="152" t="s">
        <v>8</v>
      </c>
      <c r="AG68" s="152" t="s">
        <v>222</v>
      </c>
      <c r="AH68" s="152" t="s">
        <v>22</v>
      </c>
      <c r="AI68" s="152" t="s">
        <v>23</v>
      </c>
      <c r="AJ68" s="154" t="s">
        <v>11</v>
      </c>
      <c r="AK68" s="155" t="s">
        <v>217</v>
      </c>
      <c r="AL68" s="155" t="s">
        <v>259</v>
      </c>
      <c r="AM68" s="137"/>
      <c r="AN68" s="137"/>
      <c r="AO68" s="138" t="s">
        <v>155</v>
      </c>
      <c r="AP68" s="184"/>
      <c r="AQ68" s="137" t="s">
        <v>209</v>
      </c>
    </row>
    <row r="69" spans="6:44" ht="20.25" x14ac:dyDescent="0.25">
      <c r="F69" s="3">
        <v>1</v>
      </c>
      <c r="G69" s="64" t="str">
        <f t="array" ref="G69:H69">_xll.PICompDat(Data_mbcb!$H$65,Data_mbcb!$G$4,Data_mbcb!$G$5,9,"pi_server","inside")</f>
        <v>No more values:</v>
      </c>
      <c r="H69" s="65" t="str">
        <v>No more values:</v>
      </c>
      <c r="I69" s="157" t="str">
        <f>IF(OR($G69="",$G69=" ",ISTEXT($G69)),"",_xll.PITimeDat(Data_mbcb!I$65,Data_mbcb!$G69,"pi_server","interpolated"))</f>
        <v/>
      </c>
      <c r="J69" s="157" t="str">
        <f>IF(OR($G69="",$G69=" ",ISTEXT($G69)),"",_xll.PITimeDat(Data_mbcb!J$65,Data_mbcb!$G69,"pi_server","interpolated"))</f>
        <v/>
      </c>
      <c r="K69" s="157" t="str">
        <f>IF(OR($G69="",$G69=" ",ISTEXT($G69)),"",_xll.PITimeDat(Data_mbcb!K$65,Data_mbcb!$G69,"pi_server","interpolated"))</f>
        <v/>
      </c>
      <c r="L69" s="157" t="str">
        <f>IFERROR(J69-K69,"")</f>
        <v/>
      </c>
      <c r="M69" s="157" t="str">
        <f>IF(OR($G69="",$G69=" ",ISTEXT($G69)),"",_xll.PITimeDat(Data_mbcb!M$65,Data_mbcb!$G69,"pi_server","interpolated"))</f>
        <v/>
      </c>
      <c r="N69" s="157" t="str">
        <f>IF(OR($G69="",$G69=" ",ISTEXT($G69)),"",_xll.PITimeDat(Data_mbcb!N$65,Data_mbcb!$G69,"pi_server","interpolated"))</f>
        <v/>
      </c>
      <c r="O69" s="157" t="str">
        <f>IFERROR(M69-N69,"")</f>
        <v/>
      </c>
      <c r="P69" s="157" t="str">
        <f>IF(OR($G69="",$G69=" ",ISTEXT($G69)),"",_xll.PITimeDat(Data_mbcb!P$65,Data_mbcb!$G69,"pi_server","interpolated"))</f>
        <v/>
      </c>
      <c r="Q69" s="157" t="str">
        <f>IF(OR($G69="",$G69=" ",ISTEXT($G69)),"",_xll.PITimeDat(Data_mbcb!Q$65,Data_mbcb!$G69,"pi_server","interpolated"))</f>
        <v/>
      </c>
      <c r="R69" s="157" t="str">
        <f>IF(OR($G69="",$G69=" ",ISTEXT($G69)),"",_xll.PITimeDat(Data_mbcb!R$65,Data_mbcb!$G69,"pi_server","interpolated"))</f>
        <v/>
      </c>
      <c r="S69" s="157" t="str">
        <f>IF(OR($G69="",$G69=" ",ISTEXT($G69)),"",_xll.PITimeDat(Data_mbcb!S$65,Data_mbcb!$G69,"pi_server","interpolated"))</f>
        <v/>
      </c>
      <c r="T69" s="157" t="str">
        <f>IF(OR($G69="",$G69=" ",ISTEXT($G69)),"",_xll.PITimeDat(Data_mbcb!T$65,Data_mbcb!$G69,"pi_server","interpolated"))</f>
        <v/>
      </c>
      <c r="U69" s="157"/>
      <c r="V69" s="157" t="str">
        <f>IF(OR($G69="",$G69=" ",ISTEXT($G69)),"",_xll.PITimeDat(Data_mbcb!V$65,Data_mbcb!$G69,"pi_server","interpolated"))</f>
        <v/>
      </c>
      <c r="W69" s="157" t="str">
        <f>IF(OR($G69="",$G69=" ",ISTEXT($G69)),"",_xll.PITimeDat(Data_mbcb!W$65,Data_mbcb!$G69,"pi_server","interpolated"))</f>
        <v/>
      </c>
      <c r="X69" s="157" t="str">
        <f>IF(OR($G69="",$G69=" ",ISTEXT($G69)),"",_xll.PITimeDat(Data_mbcb!X$65,Data_mbcb!$G69,"pi_server","interpolated"))</f>
        <v/>
      </c>
      <c r="Y69" s="157" t="str">
        <f>IF(OR($G69="",$G69=" ",ISTEXT($G69)),"",_xll.PITimeDat(Data_mbcb!Y$65,Data_mbcb!$G69,"pi_server","interpolated"))</f>
        <v/>
      </c>
      <c r="Z69" s="157" t="str">
        <f>IF(OR($G69="",$G69=" ",ISTEXT($G69)),"",_xll.PITimeDat(Data_mbcb!Z$65,Data_mbcb!$G69,"pi_server","interpolated"))</f>
        <v/>
      </c>
      <c r="AA69" s="157" t="str">
        <f>IF(OR($G69="",$G69=" ",ISTEXT($G69)),"",_xll.PITimeDat(Data_mbcb!AA$65,Data_mbcb!$G69,"pi_server","interpolated"))</f>
        <v/>
      </c>
      <c r="AB69" s="157" t="str">
        <f>IF(OR($G69="",$G69=" ",ISTEXT($G69)),"",_xll.PITimeDat(Data_mbcb!AB$65,Data_mbcb!$G69,"pi_server","interpolated"))</f>
        <v/>
      </c>
      <c r="AC69" s="157" t="str">
        <f>IF(OR($G69="",$G69=" ",ISTEXT($G69)),"",_xll.PITimeDat(Data_mbcb!AC$65,Data_mbcb!$G69,"pi_server","interpolated"))</f>
        <v/>
      </c>
      <c r="AD69" s="157" t="str">
        <f>IF(OR($G69="",$G69=" ",ISTEXT($G69)),"",_xll.PITimeDat(Data_mbcb!AD$65,Data_mbcb!$G69,"pi_server","interpolated"))</f>
        <v/>
      </c>
      <c r="AE69" s="157" t="str">
        <f>IF(OR($G69="",$G69=" ",ISTEXT($G69)),"",_xll.PITimeDat(Data_mbcb!AE$65,Data_mbcb!$G69,"pi_server","interpolated"))</f>
        <v/>
      </c>
      <c r="AF69" s="157" t="str">
        <f>IF(OR($G69="",$G69=" ",ISTEXT($G69)),"",_xll.PITimeDat(Data_mbcb!AF$65,Data_mbcb!$G69,"pi_server","interpolated"))</f>
        <v/>
      </c>
      <c r="AG69" s="157" t="str">
        <f>IF(OR($G69="",$G69=" ",ISTEXT($G69)),"",_xll.PITimeDat(Data_mbcb!AG$65,Data_mbcb!$G69,"pi_server","interpolated"))</f>
        <v/>
      </c>
      <c r="AH69" s="157" t="str">
        <f>IF(OR($G69="",$G69=" ",ISTEXT($G69)),"",_xll.PITimeDat(Data_mbcb!AH$65,Data_mbcb!$G69,"pi_server","interpolated"))</f>
        <v/>
      </c>
      <c r="AI69" s="157" t="str">
        <f>IF(OR($G69="",$G69=" ",ISTEXT($G69)),"",_xll.PITimeDat(Data_mbcb!AI$65,Data_mbcb!$G69,"pi_server","interpolated"))</f>
        <v/>
      </c>
      <c r="AJ69" s="157" t="str">
        <f>IF(OR($G69="",$G69=" ",ISTEXT($G69)),"",_xll.PITimeDat(Data_mbcb!AJ$65,Data_mbcb!$G69,"pi_server","interpolated"))</f>
        <v/>
      </c>
      <c r="AK69" s="157" t="str">
        <f>IF(OR($G69="",$G69=" ",ISTEXT($G69)),"",_xll.PITimeDat(Data_mbcb!AK$31,Data_mbcb!$G69,"pi_server","interpolated"))</f>
        <v/>
      </c>
      <c r="AL69" s="157" t="str">
        <f>IF(OR($G69="",$G69=" ",ISTEXT($G69)),"",_xll.PITimeDat(Data_mbcb!AL$65,Data_mbcb!$G69,"pi_server","interpolated"))</f>
        <v/>
      </c>
      <c r="AM69" s="157"/>
      <c r="AN69" s="157" t="str">
        <f>IF(OR($G69="",$G69=" ",ISTEXT($G69)),"",_xll.PITimeDat(Data_mbcb!AN$65,Data_mbcb!$G69,"pi_server","interpolated"))</f>
        <v/>
      </c>
      <c r="AO69" s="157" t="str">
        <f>IF(OR($G69="",$G69=" ",ISTEXT($G69)),"",_xll.PITimeDat(Data_mbcb!AO$65,Data_mbcb!$G69,"pi_server","interpolated"))</f>
        <v/>
      </c>
      <c r="AP69" s="157" t="str">
        <f>IF(OR($G69="",$G69=" ",ISTEXT($G69)),"",_xll.PITimeDat(Data_mbcb!AP$65,Data_mbcb!$G69,"pi_server","interpolated"))</f>
        <v/>
      </c>
      <c r="AQ69" s="157" t="str">
        <f>IF(OR($G69="",$G69=" ",ISTEXT($G69)),"",_xll.PITimeDat(Data_mbcb!AQ$65,Data_mbcb!$G69,"pi_server","interpolated"))</f>
        <v/>
      </c>
      <c r="AR69" s="157" t="str">
        <f>IF(OR($G69="",$G69=" ",ISTEXT($G69)),"",_xll.PITimeDat(Data_mbcb!AR$65,Data_mbcb!$G69,"pi_server","interpolated"))</f>
        <v/>
      </c>
    </row>
    <row r="70" spans="6:44" ht="20.25" x14ac:dyDescent="0.25">
      <c r="F70" s="3">
        <v>2</v>
      </c>
      <c r="G70" s="64"/>
      <c r="H70" s="65"/>
      <c r="I70" s="157" t="str">
        <f>IF(OR($G70="",$G70=" ",ISTEXT($G70)),"",_xll.PITimeDat(Data_mbcb!I$65,Data_mbcb!$G70,"pi_server","interpolated"))</f>
        <v/>
      </c>
      <c r="J70" s="157" t="str">
        <f>IF(OR($G70="",$G70=" ",ISTEXT($G70)),"",_xll.PITimeDat(Data_mbcb!J$65,Data_mbcb!$G70,"pi_server","interpolated"))</f>
        <v/>
      </c>
      <c r="K70" s="157" t="str">
        <f>IF(OR($G70="",$G70=" ",ISTEXT($G70)),"",_xll.PITimeDat(Data_mbcb!K$65,Data_mbcb!$G70,"pi_server","interpolated"))</f>
        <v/>
      </c>
      <c r="L70" s="157" t="str">
        <f t="shared" ref="L70:L78" si="115">IFERROR(J70-K70,"")</f>
        <v/>
      </c>
      <c r="M70" s="157" t="str">
        <f>IF(OR($G70="",$G70=" ",ISTEXT($G70)),"",_xll.PITimeDat(Data_mbcb!M$65,Data_mbcb!$G70,"pi_server","interpolated"))</f>
        <v/>
      </c>
      <c r="N70" s="157" t="str">
        <f>IF(OR($G70="",$G70=" ",ISTEXT($G70)),"",_xll.PITimeDat(Data_mbcb!N$65,Data_mbcb!$G70,"pi_server","interpolated"))</f>
        <v/>
      </c>
      <c r="O70" s="157" t="str">
        <f t="shared" ref="O70:O78" si="116">IFERROR(M70-N70,"")</f>
        <v/>
      </c>
      <c r="P70" s="157" t="str">
        <f>IF(OR($G70="",$G70=" ",ISTEXT($G70)),"",_xll.PITimeDat(Data_mbcb!P$65,Data_mbcb!$G70,"pi_server","interpolated"))</f>
        <v/>
      </c>
      <c r="Q70" s="157" t="str">
        <f>IF(OR($G70="",$G70=" ",ISTEXT($G70)),"",_xll.PITimeDat(Data_mbcb!Q$65,Data_mbcb!$G70,"pi_server","interpolated"))</f>
        <v/>
      </c>
      <c r="R70" s="157" t="str">
        <f>IF(OR($G70="",$G70=" ",ISTEXT($G70)),"",_xll.PITimeDat(Data_mbcb!R$65,Data_mbcb!$G70,"pi_server","interpolated"))</f>
        <v/>
      </c>
      <c r="S70" s="157" t="str">
        <f>IF(OR($G70="",$G70=" ",ISTEXT($G70)),"",_xll.PITimeDat(Data_mbcb!S$65,Data_mbcb!$G70,"pi_server","interpolated"))</f>
        <v/>
      </c>
      <c r="T70" s="157" t="str">
        <f>IF(OR($G70="",$G70=" ",ISTEXT($G70)),"",_xll.PITimeDat(Data_mbcb!T$65,Data_mbcb!$G70,"pi_server","interpolated"))</f>
        <v/>
      </c>
      <c r="U70" s="157"/>
      <c r="V70" s="157" t="str">
        <f>IF(OR($G70="",$G70=" ",ISTEXT($G70)),"",_xll.PITimeDat(Data_mbcb!V$65,Data_mbcb!$G70,"pi_server","interpolated"))</f>
        <v/>
      </c>
      <c r="W70" s="157" t="str">
        <f>IF(OR($G70="",$G70=" ",ISTEXT($G70)),"",_xll.PITimeDat(Data_mbcb!W$65,Data_mbcb!$G70,"pi_server","interpolated"))</f>
        <v/>
      </c>
      <c r="X70" s="157" t="str">
        <f>IF(OR($G70="",$G70=" ",ISTEXT($G70)),"",_xll.PITimeDat(Data_mbcb!X$65,Data_mbcb!$G70,"pi_server","interpolated"))</f>
        <v/>
      </c>
      <c r="Y70" s="157" t="str">
        <f>IF(OR($G70="",$G70=" ",ISTEXT($G70)),"",_xll.PITimeDat(Data_mbcb!Y$65,Data_mbcb!$G70,"pi_server","interpolated"))</f>
        <v/>
      </c>
      <c r="Z70" s="157" t="str">
        <f>IF(OR($G70="",$G70=" ",ISTEXT($G70)),"",_xll.PITimeDat(Data_mbcb!Z$65,Data_mbcb!$G70,"pi_server","interpolated"))</f>
        <v/>
      </c>
      <c r="AA70" s="157" t="str">
        <f>IF(OR($G70="",$G70=" ",ISTEXT($G70)),"",_xll.PITimeDat(Data_mbcb!AA$65,Data_mbcb!$G70,"pi_server","interpolated"))</f>
        <v/>
      </c>
      <c r="AB70" s="157" t="str">
        <f>IF(OR($G70="",$G70=" ",ISTEXT($G70)),"",_xll.PITimeDat(Data_mbcb!AB$65,Data_mbcb!$G70,"pi_server","interpolated"))</f>
        <v/>
      </c>
      <c r="AC70" s="157" t="str">
        <f>IF(OR($G70="",$G70=" ",ISTEXT($G70)),"",_xll.PITimeDat(Data_mbcb!AC$65,Data_mbcb!$G70,"pi_server","interpolated"))</f>
        <v/>
      </c>
      <c r="AD70" s="157" t="str">
        <f>IF(OR($G70="",$G70=" ",ISTEXT($G70)),"",_xll.PITimeDat(Data_mbcb!AD$65,Data_mbcb!$G70,"pi_server","interpolated"))</f>
        <v/>
      </c>
      <c r="AE70" s="157" t="str">
        <f>IF(OR($G70="",$G70=" ",ISTEXT($G70)),"",_xll.PITimeDat(Data_mbcb!AE$65,Data_mbcb!$G70,"pi_server","interpolated"))</f>
        <v/>
      </c>
      <c r="AF70" s="157" t="str">
        <f>IF(OR($G70="",$G70=" ",ISTEXT($G70)),"",_xll.PITimeDat(Data_mbcb!AF$65,Data_mbcb!$G70,"pi_server","interpolated"))</f>
        <v/>
      </c>
      <c r="AG70" s="157" t="str">
        <f>IF(OR($G70="",$G70=" ",ISTEXT($G70)),"",_xll.PITimeDat(Data_mbcb!AG$65,Data_mbcb!$G70,"pi_server","interpolated"))</f>
        <v/>
      </c>
      <c r="AH70" s="157" t="str">
        <f>IF(OR($G70="",$G70=" ",ISTEXT($G70)),"",_xll.PITimeDat(Data_mbcb!AH$65,Data_mbcb!$G70,"pi_server","interpolated"))</f>
        <v/>
      </c>
      <c r="AI70" s="157" t="str">
        <f>IF(OR($G70="",$G70=" ",ISTEXT($G70)),"",_xll.PITimeDat(Data_mbcb!AI$65,Data_mbcb!$G70,"pi_server","interpolated"))</f>
        <v/>
      </c>
      <c r="AJ70" s="157" t="str">
        <f>IF(OR($G70="",$G70=" ",ISTEXT($G70)),"",_xll.PITimeDat(Data_mbcb!AJ$65,Data_mbcb!$G70,"pi_server","interpolated"))</f>
        <v/>
      </c>
      <c r="AK70" s="157" t="str">
        <f>IF(OR($G70="",$G70=" ",ISTEXT($G70)),"",_xll.PITimeDat(Data_mbcb!AK$31,Data_mbcb!$G70,"pi_server","interpolated"))</f>
        <v/>
      </c>
      <c r="AL70" s="157" t="str">
        <f>IF(OR($G70="",$G70=" ",ISTEXT($G70)),"",_xll.PITimeDat(Data_mbcb!AL$65,Data_mbcb!$G70,"pi_server","interpolated"))</f>
        <v/>
      </c>
      <c r="AM70" s="157"/>
      <c r="AN70" s="157" t="str">
        <f>IF(OR($G70="",$G70=" ",ISTEXT($G70)),"",_xll.PITimeDat(Data_mbcb!AN$65,Data_mbcb!$G70,"pi_server","interpolated"))</f>
        <v/>
      </c>
      <c r="AO70" s="157" t="str">
        <f>IF(OR($G70="",$G70=" ",ISTEXT($G70)),"",_xll.PITimeDat(Data_mbcb!AO$65,Data_mbcb!$G70,"pi_server","interpolated"))</f>
        <v/>
      </c>
      <c r="AP70" s="157" t="str">
        <f>IF(OR($G70="",$G70=" ",ISTEXT($G70)),"",_xll.PITimeDat(Data_mbcb!AP$65,Data_mbcb!$G70,"pi_server","interpolated"))</f>
        <v/>
      </c>
      <c r="AQ70" s="157" t="str">
        <f>IF(OR($G70="",$G70=" ",ISTEXT($G70)),"",_xll.PITimeDat(Data_mbcb!AQ$65,Data_mbcb!$G70,"pi_server","interpolated"))</f>
        <v/>
      </c>
      <c r="AR70" s="157" t="str">
        <f>IF(OR($G70="",$G70=" ",ISTEXT($G70)),"",_xll.PITimeDat(Data_mbcb!AR$65,Data_mbcb!$G70,"pi_server","interpolated"))</f>
        <v/>
      </c>
    </row>
    <row r="71" spans="6:44" ht="20.25" x14ac:dyDescent="0.25">
      <c r="F71" s="3">
        <v>3</v>
      </c>
      <c r="G71" s="64"/>
      <c r="H71" s="65"/>
      <c r="I71" s="157" t="str">
        <f>IF(OR($G71="",$G71=" ",ISTEXT($G71)),"",_xll.PITimeDat(Data_mbcb!I$65,Data_mbcb!$G71,"pi_server","interpolated"))</f>
        <v/>
      </c>
      <c r="J71" s="157" t="str">
        <f>IF(OR($G71="",$G71=" ",ISTEXT($G71)),"",_xll.PITimeDat(Data_mbcb!J$65,Data_mbcb!$G71,"pi_server","interpolated"))</f>
        <v/>
      </c>
      <c r="K71" s="157" t="str">
        <f>IF(OR($G71="",$G71=" ",ISTEXT($G71)),"",_xll.PITimeDat(Data_mbcb!K$65,Data_mbcb!$G71,"pi_server","interpolated"))</f>
        <v/>
      </c>
      <c r="L71" s="157" t="str">
        <f>IFERROR(J71-K71,"")</f>
        <v/>
      </c>
      <c r="M71" s="157" t="str">
        <f>IF(OR($G71="",$G71=" ",ISTEXT($G71)),"",_xll.PITimeDat(Data_mbcb!M$65,Data_mbcb!$G71,"pi_server","interpolated"))</f>
        <v/>
      </c>
      <c r="N71" s="157" t="str">
        <f>IF(OR($G71="",$G71=" ",ISTEXT($G71)),"",_xll.PITimeDat(Data_mbcb!N$65,Data_mbcb!$G71,"pi_server","interpolated"))</f>
        <v/>
      </c>
      <c r="O71" s="157" t="str">
        <f>IFERROR(M71-N71,"")</f>
        <v/>
      </c>
      <c r="P71" s="157" t="str">
        <f>IF(OR($G71="",$G71=" ",ISTEXT($G71)),"",_xll.PITimeDat(Data_mbcb!P$65,Data_mbcb!$G71,"pi_server","interpolated"))</f>
        <v/>
      </c>
      <c r="Q71" s="157" t="str">
        <f>IF(OR($G71="",$G71=" ",ISTEXT($G71)),"",_xll.PITimeDat(Data_mbcb!Q$65,Data_mbcb!$G71,"pi_server","interpolated"))</f>
        <v/>
      </c>
      <c r="R71" s="157" t="str">
        <f>IF(OR($G71="",$G71=" ",ISTEXT($G71)),"",_xll.PITimeDat(Data_mbcb!R$65,Data_mbcb!$G71,"pi_server","interpolated"))</f>
        <v/>
      </c>
      <c r="S71" s="157" t="str">
        <f>IF(OR($G71="",$G71=" ",ISTEXT($G71)),"",_xll.PITimeDat(Data_mbcb!S$65,Data_mbcb!$G71,"pi_server","interpolated"))</f>
        <v/>
      </c>
      <c r="T71" s="157" t="str">
        <f>IF(OR($G71="",$G71=" ",ISTEXT($G71)),"",_xll.PITimeDat(Data_mbcb!T$65,Data_mbcb!$G71,"pi_server","interpolated"))</f>
        <v/>
      </c>
      <c r="U71" s="157"/>
      <c r="V71" s="157" t="str">
        <f>IF(OR($G71="",$G71=" ",ISTEXT($G71)),"",_xll.PITimeDat(Data_mbcb!V$65,Data_mbcb!$G71,"pi_server","interpolated"))</f>
        <v/>
      </c>
      <c r="W71" s="157" t="str">
        <f>IF(OR($G71="",$G71=" ",ISTEXT($G71)),"",_xll.PITimeDat(Data_mbcb!W$65,Data_mbcb!$G71,"pi_server","interpolated"))</f>
        <v/>
      </c>
      <c r="X71" s="157" t="str">
        <f>IF(OR($G71="",$G71=" ",ISTEXT($G71)),"",_xll.PITimeDat(Data_mbcb!X$65,Data_mbcb!$G71,"pi_server","interpolated"))</f>
        <v/>
      </c>
      <c r="Y71" s="157" t="str">
        <f>IF(OR($G71="",$G71=" ",ISTEXT($G71)),"",_xll.PITimeDat(Data_mbcb!Y$65,Data_mbcb!$G71,"pi_server","interpolated"))</f>
        <v/>
      </c>
      <c r="Z71" s="157" t="str">
        <f>IF(OR($G71="",$G71=" ",ISTEXT($G71)),"",_xll.PITimeDat(Data_mbcb!Z$65,Data_mbcb!$G71,"pi_server","interpolated"))</f>
        <v/>
      </c>
      <c r="AA71" s="157" t="str">
        <f>IF(OR($G71="",$G71=" ",ISTEXT($G71)),"",_xll.PITimeDat(Data_mbcb!AA$65,Data_mbcb!$G71,"pi_server","interpolated"))</f>
        <v/>
      </c>
      <c r="AB71" s="157" t="str">
        <f>IF(OR($G71="",$G71=" ",ISTEXT($G71)),"",_xll.PITimeDat(Data_mbcb!AB$65,Data_mbcb!$G71,"pi_server","interpolated"))</f>
        <v/>
      </c>
      <c r="AC71" s="157" t="str">
        <f>IF(OR($G71="",$G71=" ",ISTEXT($G71)),"",_xll.PITimeDat(Data_mbcb!AC$65,Data_mbcb!$G71,"pi_server","interpolated"))</f>
        <v/>
      </c>
      <c r="AD71" s="157" t="str">
        <f>IF(OR($G71="",$G71=" ",ISTEXT($G71)),"",_xll.PITimeDat(Data_mbcb!AD$65,Data_mbcb!$G71,"pi_server","interpolated"))</f>
        <v/>
      </c>
      <c r="AE71" s="157" t="str">
        <f>IF(OR($G71="",$G71=" ",ISTEXT($G71)),"",_xll.PITimeDat(Data_mbcb!AE$65,Data_mbcb!$G71,"pi_server","interpolated"))</f>
        <v/>
      </c>
      <c r="AF71" s="157" t="str">
        <f>IF(OR($G71="",$G71=" ",ISTEXT($G71)),"",_xll.PITimeDat(Data_mbcb!AF$65,Data_mbcb!$G71,"pi_server","interpolated"))</f>
        <v/>
      </c>
      <c r="AG71" s="157" t="str">
        <f>IF(OR($G71="",$G71=" ",ISTEXT($G71)),"",_xll.PITimeDat(Data_mbcb!AG$65,Data_mbcb!$G71,"pi_server","interpolated"))</f>
        <v/>
      </c>
      <c r="AH71" s="157" t="str">
        <f>IF(OR($G71="",$G71=" ",ISTEXT($G71)),"",_xll.PITimeDat(Data_mbcb!AH$65,Data_mbcb!$G71,"pi_server","interpolated"))</f>
        <v/>
      </c>
      <c r="AI71" s="157" t="str">
        <f>IF(OR($G71="",$G71=" ",ISTEXT($G71)),"",_xll.PITimeDat(Data_mbcb!AI$65,Data_mbcb!$G71,"pi_server","interpolated"))</f>
        <v/>
      </c>
      <c r="AJ71" s="157" t="str">
        <f>IF(OR($G71="",$G71=" ",ISTEXT($G71)),"",_xll.PITimeDat(Data_mbcb!AJ$65,Data_mbcb!$G71,"pi_server","interpolated"))</f>
        <v/>
      </c>
      <c r="AK71" s="157" t="str">
        <f>IF(OR($G71="",$G71=" ",ISTEXT($G71)),"",_xll.PITimeDat(Data_mbcb!AK$31,Data_mbcb!$G71,"pi_server","interpolated"))</f>
        <v/>
      </c>
      <c r="AL71" s="157" t="str">
        <f>IF(OR($G71="",$G71=" ",ISTEXT($G71)),"",_xll.PITimeDat(Data_mbcb!AL$65,Data_mbcb!$G71,"pi_server","interpolated"))</f>
        <v/>
      </c>
      <c r="AM71" s="157"/>
      <c r="AN71" s="157" t="str">
        <f>IF(OR($G71="",$G71=" ",ISTEXT($G71)),"",_xll.PITimeDat(Data_mbcb!AN$65,Data_mbcb!$G71,"pi_server","interpolated"))</f>
        <v/>
      </c>
      <c r="AO71" s="157" t="str">
        <f>IF(OR($G71="",$G71=" ",ISTEXT($G71)),"",_xll.PITimeDat(Data_mbcb!AO$65,Data_mbcb!$G71,"pi_server","interpolated"))</f>
        <v/>
      </c>
      <c r="AP71" s="157" t="str">
        <f>IF(OR($G71="",$G71=" ",ISTEXT($G71)),"",_xll.PITimeDat(Data_mbcb!AP$65,Data_mbcb!$G71,"pi_server","interpolated"))</f>
        <v/>
      </c>
      <c r="AQ71" s="157" t="str">
        <f>IF(OR($G71="",$G71=" ",ISTEXT($G71)),"",_xll.PITimeDat(Data_mbcb!AQ$65,Data_mbcb!$G71,"pi_server","interpolated"))</f>
        <v/>
      </c>
      <c r="AR71" s="157" t="str">
        <f>IF(OR($G71="",$G71=" ",ISTEXT($G71)),"",_xll.PITimeDat(Data_mbcb!AR$65,Data_mbcb!$G71,"pi_server","interpolated"))</f>
        <v/>
      </c>
    </row>
    <row r="72" spans="6:44" ht="20.25" x14ac:dyDescent="0.25">
      <c r="F72" s="3">
        <v>4</v>
      </c>
      <c r="G72" s="64"/>
      <c r="H72" s="65"/>
      <c r="I72" s="157" t="str">
        <f>IF(OR($G72="",$G72=" ",ISTEXT($G72)),"",_xll.PITimeDat(Data_mbcb!I$65,Data_mbcb!$G72,"pi_server","interpolated"))</f>
        <v/>
      </c>
      <c r="J72" s="157" t="str">
        <f>IF(OR($G72="",$G72=" ",ISTEXT($G72)),"",_xll.PITimeDat(Data_mbcb!J$65,Data_mbcb!$G72,"pi_server","interpolated"))</f>
        <v/>
      </c>
      <c r="K72" s="157" t="str">
        <f>IF(OR($G72="",$G72=" ",ISTEXT($G72)),"",_xll.PITimeDat(Data_mbcb!K$65,Data_mbcb!$G72,"pi_server","interpolated"))</f>
        <v/>
      </c>
      <c r="L72" s="157" t="str">
        <f t="shared" si="115"/>
        <v/>
      </c>
      <c r="M72" s="157" t="str">
        <f>IF(OR($G72="",$G72=" ",ISTEXT($G72)),"",_xll.PITimeDat(Data_mbcb!M$65,Data_mbcb!$G72,"pi_server","interpolated"))</f>
        <v/>
      </c>
      <c r="N72" s="157" t="str">
        <f>IF(OR($G72="",$G72=" ",ISTEXT($G72)),"",_xll.PITimeDat(Data_mbcb!N$65,Data_mbcb!$G72,"pi_server","interpolated"))</f>
        <v/>
      </c>
      <c r="O72" s="157" t="str">
        <f t="shared" si="116"/>
        <v/>
      </c>
      <c r="P72" s="157" t="str">
        <f>IF(OR($G72="",$G72=" ",ISTEXT($G72)),"",_xll.PITimeDat(Data_mbcb!P$65,Data_mbcb!$G72,"pi_server","interpolated"))</f>
        <v/>
      </c>
      <c r="Q72" s="157" t="str">
        <f>IF(OR($G72="",$G72=" ",ISTEXT($G72)),"",_xll.PITimeDat(Data_mbcb!Q$65,Data_mbcb!$G72,"pi_server","interpolated"))</f>
        <v/>
      </c>
      <c r="R72" s="157" t="str">
        <f>IF(OR($G72="",$G72=" ",ISTEXT($G72)),"",_xll.PITimeDat(Data_mbcb!R$65,Data_mbcb!$G72,"pi_server","interpolated"))</f>
        <v/>
      </c>
      <c r="S72" s="157" t="str">
        <f>IF(OR($G72="",$G72=" ",ISTEXT($G72)),"",_xll.PITimeDat(Data_mbcb!S$65,Data_mbcb!$G72,"pi_server","interpolated"))</f>
        <v/>
      </c>
      <c r="T72" s="157" t="str">
        <f>IF(OR($G72="",$G72=" ",ISTEXT($G72)),"",_xll.PITimeDat(Data_mbcb!T$65,Data_mbcb!$G72,"pi_server","interpolated"))</f>
        <v/>
      </c>
      <c r="U72" s="123" t="str">
        <f>IF(ISTEXT(_xll.PIArcVal(Data!T$32,Data!$G72,0,"PI_SERVER","interpolated")),"",_xll.PIArcVal(Data!T$32,Data!$G72,0,"PI_SERVER","interpolated"))</f>
        <v/>
      </c>
      <c r="V72" s="157" t="str">
        <f>IF(OR($G72="",$G72=" ",ISTEXT($G72)),"",_xll.PITimeDat(Data_mbcb!V$65,Data_mbcb!$G72,"pi_server","interpolated"))</f>
        <v/>
      </c>
      <c r="W72" s="157" t="str">
        <f>IF(OR($G72="",$G72=" ",ISTEXT($G72)),"",_xll.PITimeDat(Data_mbcb!W$65,Data_mbcb!$G72,"pi_server","interpolated"))</f>
        <v/>
      </c>
      <c r="X72" s="157" t="str">
        <f>IF(OR($G72="",$G72=" ",ISTEXT($G72)),"",_xll.PITimeDat(Data_mbcb!X$65,Data_mbcb!$G72,"pi_server","interpolated"))</f>
        <v/>
      </c>
      <c r="Y72" s="157" t="str">
        <f>IF(OR($G72="",$G72=" ",ISTEXT($G72)),"",_xll.PITimeDat(Data_mbcb!Y$65,Data_mbcb!$G72,"pi_server","interpolated"))</f>
        <v/>
      </c>
      <c r="Z72" s="157" t="str">
        <f>IF(OR($G72="",$G72=" ",ISTEXT($G72)),"",_xll.PITimeDat(Data_mbcb!Z$65,Data_mbcb!$G72,"pi_server","interpolated"))</f>
        <v/>
      </c>
      <c r="AA72" s="157" t="str">
        <f>IF(OR($G72="",$G72=" ",ISTEXT($G72)),"",_xll.PITimeDat(Data_mbcb!AA$65,Data_mbcb!$G72,"pi_server","interpolated"))</f>
        <v/>
      </c>
      <c r="AB72" s="157" t="str">
        <f>IF(OR($G72="",$G72=" ",ISTEXT($G72)),"",_xll.PITimeDat(Data_mbcb!AB$65,Data_mbcb!$G72,"pi_server","interpolated"))</f>
        <v/>
      </c>
      <c r="AC72" s="157" t="str">
        <f>IF(OR($G72="",$G72=" ",ISTEXT($G72)),"",_xll.PITimeDat(Data_mbcb!AC$65,Data_mbcb!$G72,"pi_server","interpolated"))</f>
        <v/>
      </c>
      <c r="AD72" s="157" t="str">
        <f>IF(OR($G72="",$G72=" ",ISTEXT($G72)),"",_xll.PITimeDat(Data_mbcb!AD$65,Data_mbcb!$G72,"pi_server","interpolated"))</f>
        <v/>
      </c>
      <c r="AE72" s="157" t="str">
        <f>IF(OR($G72="",$G72=" ",ISTEXT($G72)),"",_xll.PITimeDat(Data_mbcb!AE$65,Data_mbcb!$G72,"pi_server","interpolated"))</f>
        <v/>
      </c>
      <c r="AF72" s="157" t="str">
        <f>IF(OR($G72="",$G72=" ",ISTEXT($G72)),"",_xll.PITimeDat(Data_mbcb!AF$65,Data_mbcb!$G72,"pi_server","interpolated"))</f>
        <v/>
      </c>
      <c r="AG72" s="157" t="str">
        <f>IF(OR($G72="",$G72=" ",ISTEXT($G72)),"",_xll.PITimeDat(Data_mbcb!AG$65,Data_mbcb!$G72,"pi_server","interpolated"))</f>
        <v/>
      </c>
      <c r="AH72" s="157" t="str">
        <f>IF(OR($G72="",$G72=" ",ISTEXT($G72)),"",_xll.PITimeDat(Data_mbcb!AH$65,Data_mbcb!$G72,"pi_server","interpolated"))</f>
        <v/>
      </c>
      <c r="AI72" s="157" t="str">
        <f>IF(OR($G72="",$G72=" ",ISTEXT($G72)),"",_xll.PITimeDat(Data_mbcb!AI$65,Data_mbcb!$G72,"pi_server","interpolated"))</f>
        <v/>
      </c>
      <c r="AJ72" s="157" t="str">
        <f>IF(OR($G72="",$G72=" ",ISTEXT($G72)),"",_xll.PITimeDat(Data_mbcb!AJ$65,Data_mbcb!$G72,"pi_server","interpolated"))</f>
        <v/>
      </c>
      <c r="AK72" s="157" t="str">
        <f>IF(OR($G72="",$G72=" ",ISTEXT($G72)),"",_xll.PITimeDat(Data_mbcb!AK$31,Data_mbcb!$G72,"pi_server","interpolated"))</f>
        <v/>
      </c>
      <c r="AL72" s="157" t="str">
        <f>IF(OR($G72="",$G72=" ",ISTEXT($G72)),"",_xll.PITimeDat(Data_mbcb!AL$65,Data_mbcb!$G72,"pi_server","interpolated"))</f>
        <v/>
      </c>
      <c r="AM72" s="66" t="str">
        <f>IF(ISTEXT(_xll.PIArcVal(Data!AK$32,Data!$G72,0,"PI_SERVER","interpolated")),"",_xll.PIArcVal(Data!AK$32,Data!$G72,0,"PI_SERVER","interpolated"))</f>
        <v/>
      </c>
      <c r="AN72" s="157" t="str">
        <f>IF(OR($G72="",$G72=" ",ISTEXT($G72)),"",_xll.PITimeDat(Data_mbcb!AN$65,Data_mbcb!$G72,"pi_server","interpolated"))</f>
        <v/>
      </c>
      <c r="AO72" s="157" t="str">
        <f>IF(OR($G72="",$G72=" ",ISTEXT($G72)),"",_xll.PITimeDat(Data_mbcb!AO$65,Data_mbcb!$G72,"pi_server","interpolated"))</f>
        <v/>
      </c>
      <c r="AP72" s="157" t="str">
        <f>IF(OR($G72="",$G72=" ",ISTEXT($G72)),"",_xll.PITimeDat(Data_mbcb!AP$65,Data_mbcb!$G72,"pi_server","interpolated"))</f>
        <v/>
      </c>
      <c r="AQ72" s="157" t="str">
        <f>IF(OR($G72="",$G72=" ",ISTEXT($G72)),"",_xll.PITimeDat(Data_mbcb!AQ$65,Data_mbcb!$G72,"pi_server","interpolated"))</f>
        <v/>
      </c>
      <c r="AR72" s="157" t="str">
        <f>IF(OR($G72="",$G72=" ",ISTEXT($G72)),"",_xll.PITimeDat(Data_mbcb!AR$65,Data_mbcb!$G72,"pi_server","interpolated"))</f>
        <v/>
      </c>
    </row>
    <row r="73" spans="6:44" ht="20.25" x14ac:dyDescent="0.25">
      <c r="F73" s="3">
        <v>5</v>
      </c>
      <c r="G73" s="64"/>
      <c r="H73" s="65"/>
      <c r="I73" s="157" t="str">
        <f>IF(OR($G73="",$G73=" ",ISTEXT($G73)),"",_xll.PITimeDat(Data_mbcb!I$65,Data_mbcb!$G73,"pi_server","interpolated"))</f>
        <v/>
      </c>
      <c r="J73" s="157" t="str">
        <f>IF(OR($G73="",$G73=" ",ISTEXT($G73)),"",_xll.PITimeDat(Data_mbcb!J$65,Data_mbcb!$G73,"pi_server","interpolated"))</f>
        <v/>
      </c>
      <c r="K73" s="157" t="str">
        <f>IF(OR($G73="",$G73=" ",ISTEXT($G73)),"",_xll.PITimeDat(Data_mbcb!K$65,Data_mbcb!$G73,"pi_server","interpolated"))</f>
        <v/>
      </c>
      <c r="L73" s="157" t="str">
        <f t="shared" si="115"/>
        <v/>
      </c>
      <c r="M73" s="157" t="str">
        <f>IF(OR($G73="",$G73=" ",ISTEXT($G73)),"",_xll.PITimeDat(Data_mbcb!M$65,Data_mbcb!$G73,"pi_server","interpolated"))</f>
        <v/>
      </c>
      <c r="N73" s="157" t="str">
        <f>IF(OR($G73="",$G73=" ",ISTEXT($G73)),"",_xll.PITimeDat(Data_mbcb!N$65,Data_mbcb!$G73,"pi_server","interpolated"))</f>
        <v/>
      </c>
      <c r="O73" s="157" t="str">
        <f t="shared" si="116"/>
        <v/>
      </c>
      <c r="P73" s="157" t="str">
        <f>IF(OR($G73="",$G73=" ",ISTEXT($G73)),"",_xll.PITimeDat(Data_mbcb!P$65,Data_mbcb!$G73,"pi_server","interpolated"))</f>
        <v/>
      </c>
      <c r="Q73" s="157" t="str">
        <f>IF(OR($G73="",$G73=" ",ISTEXT($G73)),"",_xll.PITimeDat(Data_mbcb!Q$65,Data_mbcb!$G73,"pi_server","interpolated"))</f>
        <v/>
      </c>
      <c r="R73" s="157" t="str">
        <f>IF(OR($G73="",$G73=" ",ISTEXT($G73)),"",_xll.PITimeDat(Data_mbcb!R$65,Data_mbcb!$G73,"pi_server","interpolated"))</f>
        <v/>
      </c>
      <c r="S73" s="157" t="str">
        <f>IF(OR($G73="",$G73=" ",ISTEXT($G73)),"",_xll.PITimeDat(Data_mbcb!S$65,Data_mbcb!$G73,"pi_server","interpolated"))</f>
        <v/>
      </c>
      <c r="T73" s="157" t="str">
        <f>IF(OR($G73="",$G73=" ",ISTEXT($G73)),"",_xll.PITimeDat(Data_mbcb!T$65,Data_mbcb!$G73,"pi_server","interpolated"))</f>
        <v/>
      </c>
      <c r="U73" s="123" t="str">
        <f>IF(ISTEXT(_xll.PIArcVal(Data!T$32,Data!$G73,0,"PI_SERVER","interpolated")),"",_xll.PIArcVal(Data!T$32,Data!$G73,0,"PI_SERVER","interpolated"))</f>
        <v/>
      </c>
      <c r="V73" s="157" t="str">
        <f>IF(OR($G73="",$G73=" ",ISTEXT($G73)),"",_xll.PITimeDat(Data_mbcb!V$65,Data_mbcb!$G73,"pi_server","interpolated"))</f>
        <v/>
      </c>
      <c r="W73" s="157" t="str">
        <f>IF(OR($G73="",$G73=" ",ISTEXT($G73)),"",_xll.PITimeDat(Data_mbcb!W$65,Data_mbcb!$G73,"pi_server","interpolated"))</f>
        <v/>
      </c>
      <c r="X73" s="157" t="str">
        <f>IF(OR($G73="",$G73=" ",ISTEXT($G73)),"",_xll.PITimeDat(Data_mbcb!X$65,Data_mbcb!$G73,"pi_server","interpolated"))</f>
        <v/>
      </c>
      <c r="Y73" s="157" t="str">
        <f>IF(OR($G73="",$G73=" ",ISTEXT($G73)),"",_xll.PITimeDat(Data_mbcb!Y$65,Data_mbcb!$G73,"pi_server","interpolated"))</f>
        <v/>
      </c>
      <c r="Z73" s="157" t="str">
        <f>IF(OR($G73="",$G73=" ",ISTEXT($G73)),"",_xll.PITimeDat(Data_mbcb!Z$65,Data_mbcb!$G73,"pi_server","interpolated"))</f>
        <v/>
      </c>
      <c r="AA73" s="157" t="str">
        <f>IF(OR($G73="",$G73=" ",ISTEXT($G73)),"",_xll.PITimeDat(Data_mbcb!AA$65,Data_mbcb!$G73,"pi_server","interpolated"))</f>
        <v/>
      </c>
      <c r="AB73" s="157" t="str">
        <f>IF(OR($G73="",$G73=" ",ISTEXT($G73)),"",_xll.PITimeDat(Data_mbcb!AB$65,Data_mbcb!$G73,"pi_server","interpolated"))</f>
        <v/>
      </c>
      <c r="AC73" s="157" t="str">
        <f>IF(OR($G73="",$G73=" ",ISTEXT($G73)),"",_xll.PITimeDat(Data_mbcb!AC$65,Data_mbcb!$G73,"pi_server","interpolated"))</f>
        <v/>
      </c>
      <c r="AD73" s="157" t="str">
        <f>IF(OR($G73="",$G73=" ",ISTEXT($G73)),"",_xll.PITimeDat(Data_mbcb!AD$65,Data_mbcb!$G73,"pi_server","interpolated"))</f>
        <v/>
      </c>
      <c r="AE73" s="157" t="str">
        <f>IF(OR($G73="",$G73=" ",ISTEXT($G73)),"",_xll.PITimeDat(Data_mbcb!AE$65,Data_mbcb!$G73,"pi_server","interpolated"))</f>
        <v/>
      </c>
      <c r="AF73" s="157" t="str">
        <f>IF(OR($G73="",$G73=" ",ISTEXT($G73)),"",_xll.PITimeDat(Data_mbcb!AF$65,Data_mbcb!$G73,"pi_server","interpolated"))</f>
        <v/>
      </c>
      <c r="AG73" s="157" t="str">
        <f>IF(OR($G73="",$G73=" ",ISTEXT($G73)),"",_xll.PITimeDat(Data_mbcb!AG$65,Data_mbcb!$G73,"pi_server","interpolated"))</f>
        <v/>
      </c>
      <c r="AH73" s="157" t="str">
        <f>IF(OR($G73="",$G73=" ",ISTEXT($G73)),"",_xll.PITimeDat(Data_mbcb!AH$65,Data_mbcb!$G73,"pi_server","interpolated"))</f>
        <v/>
      </c>
      <c r="AI73" s="157" t="str">
        <f>IF(OR($G73="",$G73=" ",ISTEXT($G73)),"",_xll.PITimeDat(Data_mbcb!AI$65,Data_mbcb!$G73,"pi_server","interpolated"))</f>
        <v/>
      </c>
      <c r="AJ73" s="157" t="str">
        <f>IF(OR($G73="",$G73=" ",ISTEXT($G73)),"",_xll.PITimeDat(Data_mbcb!AJ$65,Data_mbcb!$G73,"pi_server","interpolated"))</f>
        <v/>
      </c>
      <c r="AK73" s="157" t="str">
        <f>IF(OR($G73="",$G73=" ",ISTEXT($G73)),"",_xll.PITimeDat(Data_mbcb!AK$31,Data_mbcb!$G73,"pi_server","interpolated"))</f>
        <v/>
      </c>
      <c r="AL73" s="157" t="str">
        <f>IF(OR($G73="",$G73=" ",ISTEXT($G73)),"",_xll.PITimeDat(Data_mbcb!AL$65,Data_mbcb!$G73,"pi_server","interpolated"))</f>
        <v/>
      </c>
      <c r="AM73" s="66" t="str">
        <f>IF(ISTEXT(_xll.PIArcVal(Data!AK$32,Data!$G73,0,"PI_SERVER","interpolated")),"",_xll.PIArcVal(Data!AK$32,Data!$G73,0,"PI_SERVER","interpolated"))</f>
        <v/>
      </c>
      <c r="AN73" s="157" t="str">
        <f>IF(OR($G73="",$G73=" ",ISTEXT($G73)),"",_xll.PITimeDat(Data_mbcb!AN$65,Data_mbcb!$G73,"pi_server","interpolated"))</f>
        <v/>
      </c>
      <c r="AO73" s="157" t="str">
        <f>IF(OR($G73="",$G73=" ",ISTEXT($G73)),"",_xll.PITimeDat(Data_mbcb!AO$65,Data_mbcb!$G73,"pi_server","interpolated"))</f>
        <v/>
      </c>
      <c r="AP73" s="157" t="str">
        <f>IF(OR($G73="",$G73=" ",ISTEXT($G73)),"",_xll.PITimeDat(Data_mbcb!AP$65,Data_mbcb!$G73,"pi_server","interpolated"))</f>
        <v/>
      </c>
      <c r="AQ73" s="157" t="str">
        <f>IF(OR($G73="",$G73=" ",ISTEXT($G73)),"",_xll.PITimeDat(Data_mbcb!AQ$65,Data_mbcb!$G73,"pi_server","interpolated"))</f>
        <v/>
      </c>
      <c r="AR73" s="157" t="str">
        <f>IF(OR($G73="",$G73=" ",ISTEXT($G73)),"",_xll.PITimeDat(Data_mbcb!AR$65,Data_mbcb!$G73,"pi_server","interpolated"))</f>
        <v/>
      </c>
    </row>
    <row r="74" spans="6:44" ht="20.25" x14ac:dyDescent="0.25">
      <c r="F74" s="3">
        <v>6</v>
      </c>
      <c r="G74" s="64"/>
      <c r="H74" s="65"/>
      <c r="I74" s="157" t="str">
        <f>IF(OR($G74="",$G74=" ",ISTEXT($G74)),"",_xll.PITimeDat(Data_mbcb!I$65,Data_mbcb!$G74,"pi_server","interpolated"))</f>
        <v/>
      </c>
      <c r="J74" s="157" t="str">
        <f>IF(OR($G74="",$G74=" ",ISTEXT($G74)),"",_xll.PITimeDat(Data_mbcb!J$65,Data_mbcb!$G74,"pi_server","interpolated"))</f>
        <v/>
      </c>
      <c r="K74" s="157" t="str">
        <f>IF(OR($G74="",$G74=" ",ISTEXT($G74)),"",_xll.PITimeDat(Data_mbcb!K$65,Data_mbcb!$G74,"pi_server","interpolated"))</f>
        <v/>
      </c>
      <c r="L74" s="157" t="str">
        <f t="shared" si="115"/>
        <v/>
      </c>
      <c r="M74" s="157" t="str">
        <f>IF(OR($G74="",$G74=" ",ISTEXT($G74)),"",_xll.PITimeDat(Data_mbcb!M$65,Data_mbcb!$G74,"pi_server","interpolated"))</f>
        <v/>
      </c>
      <c r="N74" s="157" t="str">
        <f>IF(OR($G74="",$G74=" ",ISTEXT($G74)),"",_xll.PITimeDat(Data_mbcb!N$65,Data_mbcb!$G74,"pi_server","interpolated"))</f>
        <v/>
      </c>
      <c r="O74" s="157" t="str">
        <f t="shared" si="116"/>
        <v/>
      </c>
      <c r="P74" s="157" t="str">
        <f>IF(OR($G74="",$G74=" ",ISTEXT($G74)),"",_xll.PITimeDat(Data_mbcb!P$65,Data_mbcb!$G74,"pi_server","interpolated"))</f>
        <v/>
      </c>
      <c r="Q74" s="157" t="str">
        <f>IF(OR($G74="",$G74=" ",ISTEXT($G74)),"",_xll.PITimeDat(Data_mbcb!Q$65,Data_mbcb!$G74,"pi_server","interpolated"))</f>
        <v/>
      </c>
      <c r="R74" s="157" t="str">
        <f>IF(OR($G74="",$G74=" ",ISTEXT($G74)),"",_xll.PITimeDat(Data_mbcb!R$65,Data_mbcb!$G74,"pi_server","interpolated"))</f>
        <v/>
      </c>
      <c r="S74" s="157" t="str">
        <f>IF(OR($G74="",$G74=" ",ISTEXT($G74)),"",_xll.PITimeDat(Data_mbcb!S$65,Data_mbcb!$G74,"pi_server","interpolated"))</f>
        <v/>
      </c>
      <c r="T74" s="157" t="str">
        <f>IF(OR($G74="",$G74=" ",ISTEXT($G74)),"",_xll.PITimeDat(Data_mbcb!T$65,Data_mbcb!$G74,"pi_server","interpolated"))</f>
        <v/>
      </c>
      <c r="U74" s="123" t="str">
        <f>IF(ISTEXT(_xll.PIArcVal(Data!T$32,Data!$G74,0,"PI_SERVER","interpolated")),"",_xll.PIArcVal(Data!T$32,Data!$G74,0,"PI_SERVER","interpolated"))</f>
        <v/>
      </c>
      <c r="V74" s="157" t="str">
        <f>IF(OR($G74="",$G74=" ",ISTEXT($G74)),"",_xll.PITimeDat(Data_mbcb!V$65,Data_mbcb!$G74,"pi_server","interpolated"))</f>
        <v/>
      </c>
      <c r="W74" s="157" t="str">
        <f>IF(OR($G74="",$G74=" ",ISTEXT($G74)),"",_xll.PITimeDat(Data_mbcb!W$65,Data_mbcb!$G74,"pi_server","interpolated"))</f>
        <v/>
      </c>
      <c r="X74" s="157" t="str">
        <f>IF(OR($G74="",$G74=" ",ISTEXT($G74)),"",_xll.PITimeDat(Data_mbcb!X$65,Data_mbcb!$G74,"pi_server","interpolated"))</f>
        <v/>
      </c>
      <c r="Y74" s="157" t="str">
        <f>IF(OR($G74="",$G74=" ",ISTEXT($G74)),"",_xll.PITimeDat(Data_mbcb!Y$65,Data_mbcb!$G74,"pi_server","interpolated"))</f>
        <v/>
      </c>
      <c r="Z74" s="157" t="str">
        <f>IF(OR($G74="",$G74=" ",ISTEXT($G74)),"",_xll.PITimeDat(Data_mbcb!Z$65,Data_mbcb!$G74,"pi_server","interpolated"))</f>
        <v/>
      </c>
      <c r="AA74" s="157" t="str">
        <f>IF(OR($G74="",$G74=" ",ISTEXT($G74)),"",_xll.PITimeDat(Data_mbcb!AA$65,Data_mbcb!$G74,"pi_server","interpolated"))</f>
        <v/>
      </c>
      <c r="AB74" s="157" t="str">
        <f>IF(OR($G74="",$G74=" ",ISTEXT($G74)),"",_xll.PITimeDat(Data_mbcb!AB$65,Data_mbcb!$G74,"pi_server","interpolated"))</f>
        <v/>
      </c>
      <c r="AC74" s="157" t="str">
        <f>IF(OR($G74="",$G74=" ",ISTEXT($G74)),"",_xll.PITimeDat(Data_mbcb!AC$65,Data_mbcb!$G74,"pi_server","interpolated"))</f>
        <v/>
      </c>
      <c r="AD74" s="157" t="str">
        <f>IF(OR($G74="",$G74=" ",ISTEXT($G74)),"",_xll.PITimeDat(Data_mbcb!AD$65,Data_mbcb!$G74,"pi_server","interpolated"))</f>
        <v/>
      </c>
      <c r="AE74" s="157" t="str">
        <f>IF(OR($G74="",$G74=" ",ISTEXT($G74)),"",_xll.PITimeDat(Data_mbcb!AE$65,Data_mbcb!$G74,"pi_server","interpolated"))</f>
        <v/>
      </c>
      <c r="AF74" s="157" t="str">
        <f>IF(OR($G74="",$G74=" ",ISTEXT($G74)),"",_xll.PITimeDat(Data_mbcb!AF$65,Data_mbcb!$G74,"pi_server","interpolated"))</f>
        <v/>
      </c>
      <c r="AG74" s="157" t="str">
        <f>IF(OR($G74="",$G74=" ",ISTEXT($G74)),"",_xll.PITimeDat(Data_mbcb!AG$65,Data_mbcb!$G74,"pi_server","interpolated"))</f>
        <v/>
      </c>
      <c r="AH74" s="157" t="str">
        <f>IF(OR($G74="",$G74=" ",ISTEXT($G74)),"",_xll.PITimeDat(Data_mbcb!AH$65,Data_mbcb!$G74,"pi_server","interpolated"))</f>
        <v/>
      </c>
      <c r="AI74" s="157" t="str">
        <f>IF(OR($G74="",$G74=" ",ISTEXT($G74)),"",_xll.PITimeDat(Data_mbcb!AI$65,Data_mbcb!$G74,"pi_server","interpolated"))</f>
        <v/>
      </c>
      <c r="AJ74" s="157" t="str">
        <f>IF(OR($G74="",$G74=" ",ISTEXT($G74)),"",_xll.PITimeDat(Data_mbcb!AJ$65,Data_mbcb!$G74,"pi_server","interpolated"))</f>
        <v/>
      </c>
      <c r="AK74" s="157" t="str">
        <f>IF(OR($G74="",$G74=" ",ISTEXT($G74)),"",_xll.PITimeDat(Data_mbcb!AK$31,Data_mbcb!$G74,"pi_server","interpolated"))</f>
        <v/>
      </c>
      <c r="AL74" s="157" t="str">
        <f>IF(OR($G74="",$G74=" ",ISTEXT($G74)),"",_xll.PITimeDat(Data_mbcb!AL$65,Data_mbcb!$G74,"pi_server","interpolated"))</f>
        <v/>
      </c>
      <c r="AM74" s="66" t="str">
        <f>IF(ISTEXT(_xll.PIArcVal(Data!AK$32,Data!$G74,0,"PI_SERVER","interpolated")),"",_xll.PIArcVal(Data!AK$32,Data!$G74,0,"PI_SERVER","interpolated"))</f>
        <v/>
      </c>
      <c r="AN74" s="157" t="str">
        <f>IF(OR($G74="",$G74=" ",ISTEXT($G74)),"",_xll.PITimeDat(Data_mbcb!AN$65,Data_mbcb!$G74,"pi_server","interpolated"))</f>
        <v/>
      </c>
      <c r="AO74" s="157" t="str">
        <f>IF(OR($G74="",$G74=" ",ISTEXT($G74)),"",_xll.PITimeDat(Data_mbcb!AO$65,Data_mbcb!$G74,"pi_server","interpolated"))</f>
        <v/>
      </c>
      <c r="AP74" s="157" t="str">
        <f>IF(OR($G74="",$G74=" ",ISTEXT($G74)),"",_xll.PITimeDat(Data_mbcb!AP$65,Data_mbcb!$G74,"pi_server","interpolated"))</f>
        <v/>
      </c>
      <c r="AQ74" s="157" t="str">
        <f>IF(OR($G74="",$G74=" ",ISTEXT($G74)),"",_xll.PITimeDat(Data_mbcb!AQ$65,Data_mbcb!$G74,"pi_server","interpolated"))</f>
        <v/>
      </c>
      <c r="AR74" s="157" t="str">
        <f>IF(OR($G74="",$G74=" ",ISTEXT($G74)),"",_xll.PITimeDat(Data_mbcb!AR$65,Data_mbcb!$G74,"pi_server","interpolated"))</f>
        <v/>
      </c>
    </row>
    <row r="75" spans="6:44" ht="20.25" x14ac:dyDescent="0.25">
      <c r="F75" s="3">
        <v>7</v>
      </c>
      <c r="G75" s="64"/>
      <c r="H75" s="65"/>
      <c r="I75" s="157" t="str">
        <f>IF(OR($G75="",$G75=" ",ISTEXT($G75)),"",_xll.PITimeDat(Data_mbcb!I$65,Data_mbcb!$G75,"pi_server","interpolated"))</f>
        <v/>
      </c>
      <c r="J75" s="157" t="str">
        <f>IF(OR($G75="",$G75=" ",ISTEXT($G75)),"",_xll.PITimeDat(Data_mbcb!J$65,Data_mbcb!$G75,"pi_server","interpolated"))</f>
        <v/>
      </c>
      <c r="K75" s="157" t="str">
        <f>IF(OR($G75="",$G75=" ",ISTEXT($G75)),"",_xll.PITimeDat(Data_mbcb!K$65,Data_mbcb!$G75,"pi_server","interpolated"))</f>
        <v/>
      </c>
      <c r="L75" s="157" t="str">
        <f t="shared" si="115"/>
        <v/>
      </c>
      <c r="M75" s="157" t="str">
        <f>IF(OR($G75="",$G75=" ",ISTEXT($G75)),"",_xll.PITimeDat(Data_mbcb!M$65,Data_mbcb!$G75,"pi_server","interpolated"))</f>
        <v/>
      </c>
      <c r="N75" s="157" t="str">
        <f>IF(OR($G75="",$G75=" ",ISTEXT($G75)),"",_xll.PITimeDat(Data_mbcb!N$65,Data_mbcb!$G75,"pi_server","interpolated"))</f>
        <v/>
      </c>
      <c r="O75" s="157" t="str">
        <f t="shared" si="116"/>
        <v/>
      </c>
      <c r="P75" s="157" t="str">
        <f>IF(OR($G75="",$G75=" ",ISTEXT($G75)),"",_xll.PITimeDat(Data_mbcb!P$65,Data_mbcb!$G75,"pi_server","interpolated"))</f>
        <v/>
      </c>
      <c r="Q75" s="157" t="str">
        <f>IF(OR($G75="",$G75=" ",ISTEXT($G75)),"",_xll.PITimeDat(Data_mbcb!Q$65,Data_mbcb!$G75,"pi_server","interpolated"))</f>
        <v/>
      </c>
      <c r="R75" s="157" t="str">
        <f>IF(OR($G75="",$G75=" ",ISTEXT($G75)),"",_xll.PITimeDat(Data_mbcb!R$65,Data_mbcb!$G75,"pi_server","interpolated"))</f>
        <v/>
      </c>
      <c r="S75" s="157" t="str">
        <f>IF(OR($G75="",$G75=" ",ISTEXT($G75)),"",_xll.PITimeDat(Data_mbcb!S$65,Data_mbcb!$G75,"pi_server","interpolated"))</f>
        <v/>
      </c>
      <c r="T75" s="157" t="str">
        <f>IF(OR($G75="",$G75=" ",ISTEXT($G75)),"",_xll.PITimeDat(Data_mbcb!T$65,Data_mbcb!$G75,"pi_server","interpolated"))</f>
        <v/>
      </c>
      <c r="U75" s="123" t="str">
        <f>IF(ISTEXT(_xll.PIArcVal(Data!T$32,Data!$G75,0,"PI_SERVER","interpolated")),"",_xll.PIArcVal(Data!T$32,Data!$G75,0,"PI_SERVER","interpolated"))</f>
        <v/>
      </c>
      <c r="V75" s="157" t="str">
        <f>IF(OR($G75="",$G75=" ",ISTEXT($G75)),"",_xll.PITimeDat(Data_mbcb!V$65,Data_mbcb!$G75,"pi_server","interpolated"))</f>
        <v/>
      </c>
      <c r="W75" s="157" t="str">
        <f>IF(OR($G75="",$G75=" ",ISTEXT($G75)),"",_xll.PITimeDat(Data_mbcb!W$65,Data_mbcb!$G75,"pi_server","interpolated"))</f>
        <v/>
      </c>
      <c r="X75" s="157" t="str">
        <f>IF(OR($G75="",$G75=" ",ISTEXT($G75)),"",_xll.PITimeDat(Data_mbcb!X$65,Data_mbcb!$G75,"pi_server","interpolated"))</f>
        <v/>
      </c>
      <c r="Y75" s="157" t="str">
        <f>IF(OR($G75="",$G75=" ",ISTEXT($G75)),"",_xll.PITimeDat(Data_mbcb!Y$65,Data_mbcb!$G75,"pi_server","interpolated"))</f>
        <v/>
      </c>
      <c r="Z75" s="157" t="str">
        <f>IF(OR($G75="",$G75=" ",ISTEXT($G75)),"",_xll.PITimeDat(Data_mbcb!Z$65,Data_mbcb!$G75,"pi_server","interpolated"))</f>
        <v/>
      </c>
      <c r="AA75" s="157" t="str">
        <f>IF(OR($G75="",$G75=" ",ISTEXT($G75)),"",_xll.PITimeDat(Data_mbcb!AA$65,Data_mbcb!$G75,"pi_server","interpolated"))</f>
        <v/>
      </c>
      <c r="AB75" s="157" t="str">
        <f>IF(OR($G75="",$G75=" ",ISTEXT($G75)),"",_xll.PITimeDat(Data_mbcb!AB$65,Data_mbcb!$G75,"pi_server","interpolated"))</f>
        <v/>
      </c>
      <c r="AC75" s="157" t="str">
        <f>IF(OR($G75="",$G75=" ",ISTEXT($G75)),"",_xll.PITimeDat(Data_mbcb!AC$65,Data_mbcb!$G75,"pi_server","interpolated"))</f>
        <v/>
      </c>
      <c r="AD75" s="157" t="str">
        <f>IF(OR($G75="",$G75=" ",ISTEXT($G75)),"",_xll.PITimeDat(Data_mbcb!AD$65,Data_mbcb!$G75,"pi_server","interpolated"))</f>
        <v/>
      </c>
      <c r="AE75" s="157" t="str">
        <f>IF(OR($G75="",$G75=" ",ISTEXT($G75)),"",_xll.PITimeDat(Data_mbcb!AE$65,Data_mbcb!$G75,"pi_server","interpolated"))</f>
        <v/>
      </c>
      <c r="AF75" s="157" t="str">
        <f>IF(OR($G75="",$G75=" ",ISTEXT($G75)),"",_xll.PITimeDat(Data_mbcb!AF$65,Data_mbcb!$G75,"pi_server","interpolated"))</f>
        <v/>
      </c>
      <c r="AG75" s="157" t="str">
        <f>IF(OR($G75="",$G75=" ",ISTEXT($G75)),"",_xll.PITimeDat(Data_mbcb!AG$65,Data_mbcb!$G75,"pi_server","interpolated"))</f>
        <v/>
      </c>
      <c r="AH75" s="157" t="str">
        <f>IF(OR($G75="",$G75=" ",ISTEXT($G75)),"",_xll.PITimeDat(Data_mbcb!AH$65,Data_mbcb!$G75,"pi_server","interpolated"))</f>
        <v/>
      </c>
      <c r="AI75" s="157" t="str">
        <f>IF(OR($G75="",$G75=" ",ISTEXT($G75)),"",_xll.PITimeDat(Data_mbcb!AI$65,Data_mbcb!$G75,"pi_server","interpolated"))</f>
        <v/>
      </c>
      <c r="AJ75" s="157" t="str">
        <f>IF(OR($G75="",$G75=" ",ISTEXT($G75)),"",_xll.PITimeDat(Data_mbcb!AJ$65,Data_mbcb!$G75,"pi_server","interpolated"))</f>
        <v/>
      </c>
      <c r="AK75" s="157" t="str">
        <f>IF(OR($G75="",$G75=" ",ISTEXT($G75)),"",_xll.PITimeDat(Data_mbcb!AK$31,Data_mbcb!$G75,"pi_server","interpolated"))</f>
        <v/>
      </c>
      <c r="AL75" s="157" t="str">
        <f>IF(OR($G75="",$G75=" ",ISTEXT($G75)),"",_xll.PITimeDat(Data_mbcb!AL$65,Data_mbcb!$G75,"pi_server","interpolated"))</f>
        <v/>
      </c>
      <c r="AM75" s="66" t="str">
        <f>IF(ISTEXT(_xll.PIArcVal(Data!AK$32,Data!$G75,0,"PI_SERVER","interpolated")),"",_xll.PIArcVal(Data!AK$32,Data!$G75,0,"PI_SERVER","interpolated"))</f>
        <v/>
      </c>
      <c r="AN75" s="157" t="str">
        <f>IF(OR($G75="",$G75=" ",ISTEXT($G75)),"",_xll.PITimeDat(Data_mbcb!AN$65,Data_mbcb!$G75,"pi_server","interpolated"))</f>
        <v/>
      </c>
      <c r="AO75" s="157" t="str">
        <f>IF(OR($G75="",$G75=" ",ISTEXT($G75)),"",_xll.PITimeDat(Data_mbcb!AO$65,Data_mbcb!$G75,"pi_server","interpolated"))</f>
        <v/>
      </c>
      <c r="AP75" s="157" t="str">
        <f>IF(OR($G75="",$G75=" ",ISTEXT($G75)),"",_xll.PITimeDat(Data_mbcb!AP$65,Data_mbcb!$G75,"pi_server","interpolated"))</f>
        <v/>
      </c>
      <c r="AQ75" s="157" t="str">
        <f>IF(OR($G75="",$G75=" ",ISTEXT($G75)),"",_xll.PITimeDat(Data_mbcb!AQ$65,Data_mbcb!$G75,"pi_server","interpolated"))</f>
        <v/>
      </c>
      <c r="AR75" s="157" t="str">
        <f>IF(OR($G75="",$G75=" ",ISTEXT($G75)),"",_xll.PITimeDat(Data_mbcb!AR$65,Data_mbcb!$G75,"pi_server","interpolated"))</f>
        <v/>
      </c>
    </row>
    <row r="76" spans="6:44" ht="20.25" x14ac:dyDescent="0.25">
      <c r="F76" s="3">
        <v>8</v>
      </c>
      <c r="G76" s="64"/>
      <c r="H76" s="65"/>
      <c r="I76" s="157" t="str">
        <f>IF(OR($G76="",$G76=" ",ISTEXT($G76)),"",_xll.PITimeDat(Data_mbcb!I$65,Data_mbcb!$G76,"pi_server","interpolated"))</f>
        <v/>
      </c>
      <c r="J76" s="157" t="str">
        <f>IF(OR($G76="",$G76=" ",ISTEXT($G76)),"",_xll.PITimeDat(Data_mbcb!J$65,Data_mbcb!$G76,"pi_server","interpolated"))</f>
        <v/>
      </c>
      <c r="K76" s="157" t="str">
        <f>IF(OR($G76="",$G76=" ",ISTEXT($G76)),"",_xll.PITimeDat(Data_mbcb!K$65,Data_mbcb!$G76,"pi_server","interpolated"))</f>
        <v/>
      </c>
      <c r="L76" s="157" t="str">
        <f t="shared" si="115"/>
        <v/>
      </c>
      <c r="M76" s="157" t="str">
        <f>IF(OR($G76="",$G76=" ",ISTEXT($G76)),"",_xll.PITimeDat(Data_mbcb!M$65,Data_mbcb!$G76,"pi_server","interpolated"))</f>
        <v/>
      </c>
      <c r="N76" s="157" t="str">
        <f>IF(OR($G76="",$G76=" ",ISTEXT($G76)),"",_xll.PITimeDat(Data_mbcb!N$65,Data_mbcb!$G76,"pi_server","interpolated"))</f>
        <v/>
      </c>
      <c r="O76" s="157" t="str">
        <f t="shared" si="116"/>
        <v/>
      </c>
      <c r="P76" s="157" t="str">
        <f>IF(OR($G76="",$G76=" ",ISTEXT($G76)),"",_xll.PITimeDat(Data_mbcb!P$65,Data_mbcb!$G76,"pi_server","interpolated"))</f>
        <v/>
      </c>
      <c r="Q76" s="157" t="str">
        <f>IF(OR($G76="",$G76=" ",ISTEXT($G76)),"",_xll.PITimeDat(Data_mbcb!Q$65,Data_mbcb!$G76,"pi_server","interpolated"))</f>
        <v/>
      </c>
      <c r="R76" s="157" t="str">
        <f>IF(OR($G76="",$G76=" ",ISTEXT($G76)),"",_xll.PITimeDat(Data_mbcb!R$65,Data_mbcb!$G76,"pi_server","interpolated"))</f>
        <v/>
      </c>
      <c r="S76" s="157" t="str">
        <f>IF(OR($G76="",$G76=" ",ISTEXT($G76)),"",_xll.PITimeDat(Data_mbcb!S$65,Data_mbcb!$G76,"pi_server","interpolated"))</f>
        <v/>
      </c>
      <c r="T76" s="157" t="str">
        <f>IF(OR($G76="",$G76=" ",ISTEXT($G76)),"",_xll.PITimeDat(Data_mbcb!T$65,Data_mbcb!$G76,"pi_server","interpolated"))</f>
        <v/>
      </c>
      <c r="U76" s="123" t="str">
        <f>IF(ISTEXT(_xll.PIArcVal(Data!T$32,Data!$G76,0,"PI_SERVER","interpolated")),"",_xll.PIArcVal(Data!T$32,Data!$G76,0,"PI_SERVER","interpolated"))</f>
        <v/>
      </c>
      <c r="V76" s="157" t="str">
        <f>IF(OR($G76="",$G76=" ",ISTEXT($G76)),"",_xll.PITimeDat(Data_mbcb!V$65,Data_mbcb!$G76,"pi_server","interpolated"))</f>
        <v/>
      </c>
      <c r="W76" s="157" t="str">
        <f>IF(OR($G76="",$G76=" ",ISTEXT($G76)),"",_xll.PITimeDat(Data_mbcb!W$65,Data_mbcb!$G76,"pi_server","interpolated"))</f>
        <v/>
      </c>
      <c r="X76" s="157" t="str">
        <f>IF(OR($G76="",$G76=" ",ISTEXT($G76)),"",_xll.PITimeDat(Data_mbcb!X$65,Data_mbcb!$G76,"pi_server","interpolated"))</f>
        <v/>
      </c>
      <c r="Y76" s="157" t="str">
        <f>IF(OR($G76="",$G76=" ",ISTEXT($G76)),"",_xll.PITimeDat(Data_mbcb!Y$65,Data_mbcb!$G76,"pi_server","interpolated"))</f>
        <v/>
      </c>
      <c r="Z76" s="157" t="str">
        <f>IF(OR($G76="",$G76=" ",ISTEXT($G76)),"",_xll.PITimeDat(Data_mbcb!Z$65,Data_mbcb!$G76,"pi_server","interpolated"))</f>
        <v/>
      </c>
      <c r="AA76" s="157" t="str">
        <f>IF(OR($G76="",$G76=" ",ISTEXT($G76)),"",_xll.PITimeDat(Data_mbcb!AA$65,Data_mbcb!$G76,"pi_server","interpolated"))</f>
        <v/>
      </c>
      <c r="AB76" s="157" t="str">
        <f>IF(OR($G76="",$G76=" ",ISTEXT($G76)),"",_xll.PITimeDat(Data_mbcb!AB$65,Data_mbcb!$G76,"pi_server","interpolated"))</f>
        <v/>
      </c>
      <c r="AC76" s="157" t="str">
        <f>IF(OR($G76="",$G76=" ",ISTEXT($G76)),"",_xll.PITimeDat(Data_mbcb!AC$65,Data_mbcb!$G76,"pi_server","interpolated"))</f>
        <v/>
      </c>
      <c r="AD76" s="157" t="str">
        <f>IF(OR($G76="",$G76=" ",ISTEXT($G76)),"",_xll.PITimeDat(Data_mbcb!AD$65,Data_mbcb!$G76,"pi_server","interpolated"))</f>
        <v/>
      </c>
      <c r="AE76" s="157" t="str">
        <f>IF(OR($G76="",$G76=" ",ISTEXT($G76)),"",_xll.PITimeDat(Data_mbcb!AE$65,Data_mbcb!$G76,"pi_server","interpolated"))</f>
        <v/>
      </c>
      <c r="AF76" s="157" t="str">
        <f>IF(OR($G76="",$G76=" ",ISTEXT($G76)),"",_xll.PITimeDat(Data_mbcb!AF$65,Data_mbcb!$G76,"pi_server","interpolated"))</f>
        <v/>
      </c>
      <c r="AG76" s="157" t="str">
        <f>IF(OR($G76="",$G76=" ",ISTEXT($G76)),"",_xll.PITimeDat(Data_mbcb!AG$65,Data_mbcb!$G76,"pi_server","interpolated"))</f>
        <v/>
      </c>
      <c r="AH76" s="157" t="str">
        <f>IF(OR($G76="",$G76=" ",ISTEXT($G76)),"",_xll.PITimeDat(Data_mbcb!AH$65,Data_mbcb!$G76,"pi_server","interpolated"))</f>
        <v/>
      </c>
      <c r="AI76" s="157" t="str">
        <f>IF(OR($G76="",$G76=" ",ISTEXT($G76)),"",_xll.PITimeDat(Data_mbcb!AI$65,Data_mbcb!$G76,"pi_server","interpolated"))</f>
        <v/>
      </c>
      <c r="AJ76" s="157" t="str">
        <f>IF(OR($G76="",$G76=" ",ISTEXT($G76)),"",_xll.PITimeDat(Data_mbcb!AJ$65,Data_mbcb!$G76,"pi_server","interpolated"))</f>
        <v/>
      </c>
      <c r="AK76" s="157" t="str">
        <f>IF(OR($G76="",$G76=" ",ISTEXT($G76)),"",_xll.PITimeDat(Data_mbcb!AK$31,Data_mbcb!$G76,"pi_server","interpolated"))</f>
        <v/>
      </c>
      <c r="AL76" s="157" t="str">
        <f>IF(OR($G76="",$G76=" ",ISTEXT($G76)),"",_xll.PITimeDat(Data_mbcb!AL$65,Data_mbcb!$G76,"pi_server","interpolated"))</f>
        <v/>
      </c>
      <c r="AM76" s="66" t="str">
        <f>IF(ISTEXT(_xll.PIArcVal(Data!AK$32,Data!$G76,0,"PI_SERVER","interpolated")),"",_xll.PIArcVal(Data!AK$32,Data!$G76,0,"PI_SERVER","interpolated"))</f>
        <v/>
      </c>
      <c r="AN76" s="157" t="str">
        <f>IF(OR($G76="",$G76=" ",ISTEXT($G76)),"",_xll.PITimeDat(Data_mbcb!AN$65,Data_mbcb!$G76,"pi_server","interpolated"))</f>
        <v/>
      </c>
      <c r="AO76" s="157" t="str">
        <f>IF(OR($G76="",$G76=" ",ISTEXT($G76)),"",_xll.PITimeDat(Data_mbcb!AO$65,Data_mbcb!$G76,"pi_server","interpolated"))</f>
        <v/>
      </c>
      <c r="AP76" s="157" t="str">
        <f>IF(OR($G76="",$G76=" ",ISTEXT($G76)),"",_xll.PITimeDat(Data_mbcb!AP$65,Data_mbcb!$G76,"pi_server","interpolated"))</f>
        <v/>
      </c>
      <c r="AQ76" s="157" t="str">
        <f>IF(OR($G76="",$G76=" ",ISTEXT($G76)),"",_xll.PITimeDat(Data_mbcb!AQ$65,Data_mbcb!$G76,"pi_server","interpolated"))</f>
        <v/>
      </c>
      <c r="AR76" s="157" t="str">
        <f>IF(OR($G76="",$G76=" ",ISTEXT($G76)),"",_xll.PITimeDat(Data_mbcb!AR$65,Data_mbcb!$G76,"pi_server","interpolated"))</f>
        <v/>
      </c>
    </row>
    <row r="77" spans="6:44" ht="20.25" x14ac:dyDescent="0.25">
      <c r="F77" s="3">
        <v>9</v>
      </c>
      <c r="G77" s="64"/>
      <c r="H77" s="65"/>
      <c r="I77" s="157" t="str">
        <f>IF(OR($G77="",$G77=" ",ISTEXT($G77)),"",_xll.PITimeDat(Data_mbcb!I$65,Data_mbcb!$G77,"pi_server","interpolated"))</f>
        <v/>
      </c>
      <c r="J77" s="157" t="str">
        <f>IF(OR($G77="",$G77=" ",ISTEXT($G77)),"",_xll.PITimeDat(Data_mbcb!J$65,Data_mbcb!$G77,"pi_server","interpolated"))</f>
        <v/>
      </c>
      <c r="K77" s="157" t="str">
        <f>IF(OR($G77="",$G77=" ",ISTEXT($G77)),"",_xll.PITimeDat(Data_mbcb!K$65,Data_mbcb!$G77,"pi_server","interpolated"))</f>
        <v/>
      </c>
      <c r="L77" s="157" t="str">
        <f t="shared" si="115"/>
        <v/>
      </c>
      <c r="M77" s="157" t="str">
        <f>IF(OR($G77="",$G77=" ",ISTEXT($G77)),"",_xll.PITimeDat(Data_mbcb!M$65,Data_mbcb!$G77,"pi_server","interpolated"))</f>
        <v/>
      </c>
      <c r="N77" s="157" t="str">
        <f>IF(OR($G77="",$G77=" ",ISTEXT($G77)),"",_xll.PITimeDat(Data_mbcb!N$65,Data_mbcb!$G77,"pi_server","interpolated"))</f>
        <v/>
      </c>
      <c r="O77" s="157" t="str">
        <f t="shared" si="116"/>
        <v/>
      </c>
      <c r="P77" s="157" t="str">
        <f>IF(OR($G77="",$G77=" ",ISTEXT($G77)),"",_xll.PITimeDat(Data_mbcb!P$65,Data_mbcb!$G77,"pi_server","interpolated"))</f>
        <v/>
      </c>
      <c r="Q77" s="157" t="str">
        <f>IF(OR($G77="",$G77=" ",ISTEXT($G77)),"",_xll.PITimeDat(Data_mbcb!Q$65,Data_mbcb!$G77,"pi_server","interpolated"))</f>
        <v/>
      </c>
      <c r="R77" s="157" t="str">
        <f>IF(OR($G77="",$G77=" ",ISTEXT($G77)),"",_xll.PITimeDat(Data_mbcb!R$65,Data_mbcb!$G77,"pi_server","interpolated"))</f>
        <v/>
      </c>
      <c r="S77" s="157" t="str">
        <f>IF(OR($G77="",$G77=" ",ISTEXT($G77)),"",_xll.PITimeDat(Data_mbcb!S$65,Data_mbcb!$G77,"pi_server","interpolated"))</f>
        <v/>
      </c>
      <c r="T77" s="157" t="str">
        <f>IF(OR($G77="",$G77=" ",ISTEXT($G77)),"",_xll.PITimeDat(Data_mbcb!T$65,Data_mbcb!$G77,"pi_server","interpolated"))</f>
        <v/>
      </c>
      <c r="U77" s="123" t="str">
        <f>IF(ISTEXT(_xll.PIArcVal(Data!T$32,Data!$G77,0,"PI_SERVER","interpolated")),"",_xll.PIArcVal(Data!T$32,Data!$G77,0,"PI_SERVER","interpolated"))</f>
        <v/>
      </c>
      <c r="V77" s="157" t="str">
        <f>IF(OR($G77="",$G77=" ",ISTEXT($G77)),"",_xll.PITimeDat(Data_mbcb!V$65,Data_mbcb!$G77,"pi_server","interpolated"))</f>
        <v/>
      </c>
      <c r="W77" s="157" t="str">
        <f>IF(OR($G77="",$G77=" ",ISTEXT($G77)),"",_xll.PITimeDat(Data_mbcb!W$65,Data_mbcb!$G77,"pi_server","interpolated"))</f>
        <v/>
      </c>
      <c r="X77" s="157" t="str">
        <f>IF(OR($G77="",$G77=" ",ISTEXT($G77)),"",_xll.PITimeDat(Data_mbcb!X$65,Data_mbcb!$G77,"pi_server","interpolated"))</f>
        <v/>
      </c>
      <c r="Y77" s="157" t="str">
        <f>IF(OR($G77="",$G77=" ",ISTEXT($G77)),"",_xll.PITimeDat(Data_mbcb!Y$65,Data_mbcb!$G77,"pi_server","interpolated"))</f>
        <v/>
      </c>
      <c r="Z77" s="157" t="str">
        <f>IF(OR($G77="",$G77=" ",ISTEXT($G77)),"",_xll.PITimeDat(Data_mbcb!Z$65,Data_mbcb!$G77,"pi_server","interpolated"))</f>
        <v/>
      </c>
      <c r="AA77" s="157" t="str">
        <f>IF(OR($G77="",$G77=" ",ISTEXT($G77)),"",_xll.PITimeDat(Data_mbcb!AA$65,Data_mbcb!$G77,"pi_server","interpolated"))</f>
        <v/>
      </c>
      <c r="AB77" s="157" t="str">
        <f>IF(OR($G77="",$G77=" ",ISTEXT($G77)),"",_xll.PITimeDat(Data_mbcb!AB$65,Data_mbcb!$G77,"pi_server","interpolated"))</f>
        <v/>
      </c>
      <c r="AC77" s="157" t="str">
        <f>IF(OR($G77="",$G77=" ",ISTEXT($G77)),"",_xll.PITimeDat(Data_mbcb!AC$65,Data_mbcb!$G77,"pi_server","interpolated"))</f>
        <v/>
      </c>
      <c r="AD77" s="157" t="str">
        <f>IF(OR($G77="",$G77=" ",ISTEXT($G77)),"",_xll.PITimeDat(Data_mbcb!AD$65,Data_mbcb!$G77,"pi_server","interpolated"))</f>
        <v/>
      </c>
      <c r="AE77" s="157" t="str">
        <f>IF(OR($G77="",$G77=" ",ISTEXT($G77)),"",_xll.PITimeDat(Data_mbcb!AE$65,Data_mbcb!$G77,"pi_server","interpolated"))</f>
        <v/>
      </c>
      <c r="AF77" s="157" t="str">
        <f>IF(OR($G77="",$G77=" ",ISTEXT($G77)),"",_xll.PITimeDat(Data_mbcb!AF$65,Data_mbcb!$G77,"pi_server","interpolated"))</f>
        <v/>
      </c>
      <c r="AG77" s="157" t="str">
        <f>IF(OR($G77="",$G77=" ",ISTEXT($G77)),"",_xll.PITimeDat(Data_mbcb!AG$65,Data_mbcb!$G77,"pi_server","interpolated"))</f>
        <v/>
      </c>
      <c r="AH77" s="157" t="str">
        <f>IF(OR($G77="",$G77=" ",ISTEXT($G77)),"",_xll.PITimeDat(Data_mbcb!AH$65,Data_mbcb!$G77,"pi_server","interpolated"))</f>
        <v/>
      </c>
      <c r="AI77" s="157" t="str">
        <f>IF(OR($G77="",$G77=" ",ISTEXT($G77)),"",_xll.PITimeDat(Data_mbcb!AI$65,Data_mbcb!$G77,"pi_server","interpolated"))</f>
        <v/>
      </c>
      <c r="AJ77" s="157" t="str">
        <f>IF(OR($G77="",$G77=" ",ISTEXT($G77)),"",_xll.PITimeDat(Data_mbcb!AJ$65,Data_mbcb!$G77,"pi_server","interpolated"))</f>
        <v/>
      </c>
      <c r="AK77" s="157" t="str">
        <f>IF(OR($G77="",$G77=" ",ISTEXT($G77)),"",_xll.PITimeDat(Data_mbcb!AK$31,Data_mbcb!$G77,"pi_server","interpolated"))</f>
        <v/>
      </c>
      <c r="AL77" s="157" t="str">
        <f>IF(OR($G77="",$G77=" ",ISTEXT($G77)),"",_xll.PITimeDat(Data_mbcb!AL$65,Data_mbcb!$G77,"pi_server","interpolated"))</f>
        <v/>
      </c>
      <c r="AM77" s="66" t="str">
        <f>IF(ISTEXT(_xll.PIArcVal(Data!AK$32,Data!$G77,0,"PI_SERVER","interpolated")),"",_xll.PIArcVal(Data!AK$32,Data!$G77,0,"PI_SERVER","interpolated"))</f>
        <v/>
      </c>
      <c r="AN77" s="157" t="str">
        <f>IF(OR($G77="",$G77=" ",ISTEXT($G77)),"",_xll.PITimeDat(Data_mbcb!AN$65,Data_mbcb!$G77,"pi_server","interpolated"))</f>
        <v/>
      </c>
      <c r="AO77" s="157" t="str">
        <f>IF(OR($G77="",$G77=" ",ISTEXT($G77)),"",_xll.PITimeDat(Data_mbcb!AO$65,Data_mbcb!$G77,"pi_server","interpolated"))</f>
        <v/>
      </c>
      <c r="AP77" s="157" t="str">
        <f>IF(OR($G77="",$G77=" ",ISTEXT($G77)),"",_xll.PITimeDat(Data_mbcb!AP$65,Data_mbcb!$G77,"pi_server","interpolated"))</f>
        <v/>
      </c>
      <c r="AQ77" s="157" t="str">
        <f>IF(OR($G77="",$G77=" ",ISTEXT($G77)),"",_xll.PITimeDat(Data_mbcb!AQ$65,Data_mbcb!$G77,"pi_server","interpolated"))</f>
        <v/>
      </c>
      <c r="AR77" s="157" t="str">
        <f>IF(OR($G77="",$G77=" ",ISTEXT($G77)),"",_xll.PITimeDat(Data_mbcb!AR$65,Data_mbcb!$G77,"pi_server","interpolated"))</f>
        <v/>
      </c>
    </row>
    <row r="78" spans="6:44" ht="20.25" x14ac:dyDescent="0.25">
      <c r="F78" s="3">
        <v>10</v>
      </c>
      <c r="G78" s="64"/>
      <c r="H78" s="65"/>
      <c r="I78" s="157" t="str">
        <f>IF(OR($G78="",$G78=" ",ISTEXT($G78)),"",_xll.PITimeDat(Data_mbcb!I$65,Data_mbcb!$G78,"pi_server","interpolated"))</f>
        <v/>
      </c>
      <c r="J78" s="157" t="str">
        <f>IF(OR($G78="",$G78=" ",ISTEXT($G78)),"",_xll.PITimeDat(Data_mbcb!J$65,Data_mbcb!$G78,"pi_server","interpolated"))</f>
        <v/>
      </c>
      <c r="K78" s="157" t="str">
        <f>IF(OR($G78="",$G78=" ",ISTEXT($G78)),"",_xll.PITimeDat(Data_mbcb!K$65,Data_mbcb!$G78,"pi_server","interpolated"))</f>
        <v/>
      </c>
      <c r="L78" s="157" t="str">
        <f t="shared" si="115"/>
        <v/>
      </c>
      <c r="M78" s="157" t="str">
        <f>IF(OR($G78="",$G78=" ",ISTEXT($G78)),"",_xll.PITimeDat(Data_mbcb!M$65,Data_mbcb!$G78,"pi_server","interpolated"))</f>
        <v/>
      </c>
      <c r="N78" s="157" t="str">
        <f>IF(OR($G78="",$G78=" ",ISTEXT($G78)),"",_xll.PITimeDat(Data_mbcb!N$65,Data_mbcb!$G78,"pi_server","interpolated"))</f>
        <v/>
      </c>
      <c r="O78" s="157" t="str">
        <f t="shared" si="116"/>
        <v/>
      </c>
      <c r="P78" s="157" t="str">
        <f>IF(OR($G78="",$G78=" ",ISTEXT($G78)),"",_xll.PITimeDat(Data_mbcb!P$65,Data_mbcb!$G78,"pi_server","interpolated"))</f>
        <v/>
      </c>
      <c r="Q78" s="157" t="str">
        <f>IF(OR($G78="",$G78=" ",ISTEXT($G78)),"",_xll.PITimeDat(Data_mbcb!Q$65,Data_mbcb!$G78,"pi_server","interpolated"))</f>
        <v/>
      </c>
      <c r="R78" s="157" t="str">
        <f>IF(OR($G78="",$G78=" ",ISTEXT($G78)),"",_xll.PITimeDat(Data_mbcb!R$65,Data_mbcb!$G78,"pi_server","interpolated"))</f>
        <v/>
      </c>
      <c r="S78" s="157" t="str">
        <f>IF(OR($G78="",$G78=" ",ISTEXT($G78)),"",_xll.PITimeDat(Data_mbcb!S$65,Data_mbcb!$G78,"pi_server","interpolated"))</f>
        <v/>
      </c>
      <c r="T78" s="157" t="str">
        <f>IF(OR($G78="",$G78=" ",ISTEXT($G78)),"",_xll.PITimeDat(Data_mbcb!T$65,Data_mbcb!$G78,"pi_server","interpolated"))</f>
        <v/>
      </c>
      <c r="U78" s="123" t="str">
        <f>IF(ISTEXT(_xll.PIArcVal(Data!T$32,Data!$G78,0,"PI_SERVER","interpolated")),"",_xll.PIArcVal(Data!T$32,Data!$G78,0,"PI_SERVER","interpolated"))</f>
        <v/>
      </c>
      <c r="V78" s="157" t="str">
        <f>IF(OR($G78="",$G78=" ",ISTEXT($G78)),"",_xll.PITimeDat(Data_mbcb!V$65,Data_mbcb!$G78,"pi_server","interpolated"))</f>
        <v/>
      </c>
      <c r="W78" s="157" t="str">
        <f>IF(OR($G78="",$G78=" ",ISTEXT($G78)),"",_xll.PITimeDat(Data_mbcb!W$65,Data_mbcb!$G78,"pi_server","interpolated"))</f>
        <v/>
      </c>
      <c r="X78" s="157" t="str">
        <f>IF(OR($G78="",$G78=" ",ISTEXT($G78)),"",_xll.PITimeDat(Data_mbcb!X$65,Data_mbcb!$G78,"pi_server","interpolated"))</f>
        <v/>
      </c>
      <c r="Y78" s="157" t="str">
        <f>IF(OR($G78="",$G78=" ",ISTEXT($G78)),"",_xll.PITimeDat(Data_mbcb!Y$65,Data_mbcb!$G78,"pi_server","interpolated"))</f>
        <v/>
      </c>
      <c r="Z78" s="157" t="str">
        <f>IF(OR($G78="",$G78=" ",ISTEXT($G78)),"",_xll.PITimeDat(Data_mbcb!Z$65,Data_mbcb!$G78,"pi_server","interpolated"))</f>
        <v/>
      </c>
      <c r="AA78" s="157" t="str">
        <f>IF(OR($G78="",$G78=" ",ISTEXT($G78)),"",_xll.PITimeDat(Data_mbcb!AA$65,Data_mbcb!$G78,"pi_server","interpolated"))</f>
        <v/>
      </c>
      <c r="AB78" s="157" t="str">
        <f>IF(OR($G78="",$G78=" ",ISTEXT($G78)),"",_xll.PITimeDat(Data_mbcb!AB$65,Data_mbcb!$G78,"pi_server","interpolated"))</f>
        <v/>
      </c>
      <c r="AC78" s="157" t="str">
        <f>IF(OR($G78="",$G78=" ",ISTEXT($G78)),"",_xll.PITimeDat(Data_mbcb!AC$65,Data_mbcb!$G78,"pi_server","interpolated"))</f>
        <v/>
      </c>
      <c r="AD78" s="157" t="str">
        <f>IF(OR($G78="",$G78=" ",ISTEXT($G78)),"",_xll.PITimeDat(Data_mbcb!AD$65,Data_mbcb!$G78,"pi_server","interpolated"))</f>
        <v/>
      </c>
      <c r="AE78" s="157" t="str">
        <f>IF(OR($G78="",$G78=" ",ISTEXT($G78)),"",_xll.PITimeDat(Data_mbcb!AE$65,Data_mbcb!$G78,"pi_server","interpolated"))</f>
        <v/>
      </c>
      <c r="AF78" s="157" t="str">
        <f>IF(OR($G78="",$G78=" ",ISTEXT($G78)),"",_xll.PITimeDat(Data_mbcb!AF$65,Data_mbcb!$G78,"pi_server","interpolated"))</f>
        <v/>
      </c>
      <c r="AG78" s="157" t="str">
        <f>IF(OR($G78="",$G78=" ",ISTEXT($G78)),"",_xll.PITimeDat(Data_mbcb!AG$65,Data_mbcb!$G78,"pi_server","interpolated"))</f>
        <v/>
      </c>
      <c r="AH78" s="157" t="str">
        <f>IF(OR($G78="",$G78=" ",ISTEXT($G78)),"",_xll.PITimeDat(Data_mbcb!AH$65,Data_mbcb!$G78,"pi_server","interpolated"))</f>
        <v/>
      </c>
      <c r="AI78" s="157" t="str">
        <f>IF(OR($G78="",$G78=" ",ISTEXT($G78)),"",_xll.PITimeDat(Data_mbcb!AI$65,Data_mbcb!$G78,"pi_server","interpolated"))</f>
        <v/>
      </c>
      <c r="AJ78" s="157" t="str">
        <f>IF(OR($G78="",$G78=" ",ISTEXT($G78)),"",_xll.PITimeDat(Data_mbcb!AJ$65,Data_mbcb!$G78,"pi_server","interpolated"))</f>
        <v/>
      </c>
      <c r="AK78" s="157" t="str">
        <f>IF(OR($G78="",$G78=" ",ISTEXT($G78)),"",_xll.PITimeDat(Data_mbcb!AK$31,Data_mbcb!$G78,"pi_server","interpolated"))</f>
        <v/>
      </c>
      <c r="AL78" s="157" t="str">
        <f>IF(OR($G78="",$G78=" ",ISTEXT($G78)),"",_xll.PITimeDat(Data_mbcb!AL$65,Data_mbcb!$G78,"pi_server","interpolated"))</f>
        <v/>
      </c>
      <c r="AM78" s="66" t="str">
        <f>IF(ISTEXT(_xll.PIArcVal(Data!AK$32,Data!$G78,0,"PI_SERVER","interpolated")),"",_xll.PIArcVal(Data!AK$32,Data!$G78,0,"PI_SERVER","interpolated"))</f>
        <v/>
      </c>
      <c r="AN78" s="157" t="str">
        <f>IF(OR($G78="",$G78=" ",ISTEXT($G78)),"",_xll.PITimeDat(Data_mbcb!AN$65,Data_mbcb!$G78,"pi_server","interpolated"))</f>
        <v/>
      </c>
      <c r="AO78" s="157" t="str">
        <f>IF(OR($G78="",$G78=" ",ISTEXT($G78)),"",_xll.PITimeDat(Data_mbcb!AO$65,Data_mbcb!$G78,"pi_server","interpolated"))</f>
        <v/>
      </c>
      <c r="AP78" s="157" t="str">
        <f>IF(OR($G78="",$G78=" ",ISTEXT($G78)),"",_xll.PITimeDat(Data_mbcb!AP$65,Data_mbcb!$G78,"pi_server","interpolated"))</f>
        <v/>
      </c>
      <c r="AQ78" s="157" t="str">
        <f>IF(OR($G78="",$G78=" ",ISTEXT($G78)),"",_xll.PITimeDat(Data_mbcb!AQ$65,Data_mbcb!$G78,"pi_server","interpolated"))</f>
        <v/>
      </c>
      <c r="AR78" s="157" t="str">
        <f>IF(OR($G78="",$G78=" ",ISTEXT($G78)),"",_xll.PITimeDat(Data_mbcb!AR$65,Data_mbcb!$G78,"pi_server","interpolated"))</f>
        <v/>
      </c>
    </row>
    <row r="82" spans="6:44" ht="51.75" x14ac:dyDescent="0.25">
      <c r="F82" s="3"/>
      <c r="G82" s="294" t="s">
        <v>46</v>
      </c>
      <c r="H82" s="1" t="s">
        <v>88</v>
      </c>
      <c r="I82" s="182" t="s">
        <v>250</v>
      </c>
      <c r="J82" s="144" t="s">
        <v>183</v>
      </c>
      <c r="K82" s="144" t="s">
        <v>90</v>
      </c>
      <c r="L82" s="144"/>
      <c r="M82" s="144" t="s">
        <v>89</v>
      </c>
      <c r="N82" s="144" t="s">
        <v>184</v>
      </c>
      <c r="O82" s="144"/>
      <c r="P82" s="145" t="s">
        <v>91</v>
      </c>
      <c r="Q82" s="146" t="s">
        <v>232</v>
      </c>
      <c r="R82" s="146" t="s">
        <v>93</v>
      </c>
      <c r="S82" s="146" t="s">
        <v>270</v>
      </c>
      <c r="T82" s="146" t="s">
        <v>233</v>
      </c>
      <c r="U82" s="147" t="s">
        <v>166</v>
      </c>
      <c r="V82" s="146" t="s">
        <v>186</v>
      </c>
      <c r="W82" s="148" t="s">
        <v>95</v>
      </c>
      <c r="X82" s="148" t="s">
        <v>96</v>
      </c>
      <c r="Y82" s="146" t="s">
        <v>97</v>
      </c>
      <c r="Z82" s="146" t="s">
        <v>98</v>
      </c>
      <c r="AA82" s="146" t="s">
        <v>99</v>
      </c>
      <c r="AB82" s="148" t="s">
        <v>100</v>
      </c>
      <c r="AC82" s="148" t="s">
        <v>101</v>
      </c>
      <c r="AD82" s="149" t="s">
        <v>102</v>
      </c>
      <c r="AE82" s="146" t="s">
        <v>104</v>
      </c>
      <c r="AF82" s="146" t="s">
        <v>234</v>
      </c>
      <c r="AG82" s="150" t="s">
        <v>103</v>
      </c>
      <c r="AH82" s="146" t="s">
        <v>105</v>
      </c>
      <c r="AI82" s="146" t="s">
        <v>106</v>
      </c>
      <c r="AJ82" s="146" t="s">
        <v>94</v>
      </c>
      <c r="AK82" s="146" t="s">
        <v>235</v>
      </c>
      <c r="AL82" s="219" t="s">
        <v>258</v>
      </c>
      <c r="AM82" s="147" t="s">
        <v>166</v>
      </c>
      <c r="AN82" s="2" t="s">
        <v>107</v>
      </c>
      <c r="AO82" s="30" t="s">
        <v>158</v>
      </c>
      <c r="AP82" s="225" t="s">
        <v>261</v>
      </c>
      <c r="AQ82" s="30" t="s">
        <v>208</v>
      </c>
      <c r="AR82" s="178" t="s">
        <v>242</v>
      </c>
    </row>
    <row r="83" spans="6:44" ht="18" x14ac:dyDescent="0.25">
      <c r="F83" s="3"/>
      <c r="G83" s="294"/>
      <c r="H83" s="284" t="str">
        <f>H$9</f>
        <v>CYCLE</v>
      </c>
      <c r="I83" s="370" t="str">
        <f t="shared" ref="I83:O83" si="117">I$10</f>
        <v>MATTE GRADE</v>
      </c>
      <c r="J83" s="370" t="str">
        <f t="shared" si="117"/>
        <v>MATTE PRODUCED</v>
      </c>
      <c r="K83" s="370" t="str">
        <f t="shared" si="117"/>
        <v>MATTE TREATED</v>
      </c>
      <c r="L83" s="370" t="str">
        <f t="shared" si="117"/>
        <v>MATTE SKULL PRODUCTION</v>
      </c>
      <c r="M83" s="370" t="str">
        <f t="shared" si="117"/>
        <v>BLISTER PRODUCED</v>
      </c>
      <c r="N83" s="370" t="str">
        <f t="shared" si="117"/>
        <v>BLISTER TREATED</v>
      </c>
      <c r="O83" s="370" t="str">
        <f t="shared" si="117"/>
        <v>BLISTER SKULL PRODUCTION</v>
      </c>
      <c r="P83" s="373" t="s">
        <v>6</v>
      </c>
      <c r="Q83" s="373"/>
      <c r="R83" s="373"/>
      <c r="S83" s="373"/>
      <c r="T83" s="373"/>
      <c r="U83" s="373"/>
      <c r="V83" s="373"/>
      <c r="W83" s="373"/>
      <c r="X83" s="373"/>
      <c r="Y83" s="373"/>
      <c r="Z83" s="373"/>
      <c r="AA83" s="373"/>
      <c r="AB83" s="373"/>
      <c r="AC83" s="373"/>
      <c r="AD83" s="373"/>
      <c r="AE83" s="373"/>
      <c r="AF83" s="373"/>
      <c r="AG83" s="373"/>
      <c r="AH83" s="373"/>
      <c r="AI83" s="110"/>
      <c r="AJ83" s="3"/>
      <c r="AK83" s="3"/>
      <c r="AL83" s="3"/>
      <c r="AM83" s="3"/>
      <c r="AN83" s="3"/>
      <c r="AO83" s="3"/>
      <c r="AP83" s="3"/>
      <c r="AQ83" s="3"/>
    </row>
    <row r="84" spans="6:44" ht="15.75" x14ac:dyDescent="0.25">
      <c r="F84" s="3"/>
      <c r="G84" s="294"/>
      <c r="H84" s="285"/>
      <c r="I84" s="371"/>
      <c r="J84" s="371"/>
      <c r="K84" s="371"/>
      <c r="L84" s="371"/>
      <c r="M84" s="371"/>
      <c r="N84" s="371"/>
      <c r="O84" s="371"/>
      <c r="P84" s="374" t="s">
        <v>24</v>
      </c>
      <c r="Q84" s="374"/>
      <c r="R84" s="374"/>
      <c r="S84" s="374"/>
      <c r="T84" s="151"/>
      <c r="U84" s="374" t="s">
        <v>25</v>
      </c>
      <c r="V84" s="374"/>
      <c r="W84" s="374"/>
      <c r="X84" s="374"/>
      <c r="Y84" s="374"/>
      <c r="Z84" s="374"/>
      <c r="AA84" s="374"/>
      <c r="AB84" s="374"/>
      <c r="AC84" s="374"/>
      <c r="AD84" s="374"/>
      <c r="AE84" s="374"/>
      <c r="AF84" s="374"/>
      <c r="AG84" s="374"/>
      <c r="AH84" s="374"/>
      <c r="AI84" s="119"/>
      <c r="AJ84" s="8"/>
      <c r="AK84" s="8"/>
      <c r="AL84" s="8"/>
      <c r="AM84" s="8"/>
      <c r="AN84" s="8"/>
      <c r="AO84" s="8"/>
      <c r="AP84" s="8"/>
      <c r="AQ84" s="8"/>
    </row>
    <row r="85" spans="6:44" ht="38.25" x14ac:dyDescent="0.25">
      <c r="F85" s="3"/>
      <c r="G85" s="3"/>
      <c r="H85" s="295"/>
      <c r="I85" s="372"/>
      <c r="J85" s="372"/>
      <c r="K85" s="372"/>
      <c r="L85" s="372"/>
      <c r="M85" s="372"/>
      <c r="N85" s="372"/>
      <c r="O85" s="372"/>
      <c r="P85" s="152" t="s">
        <v>7</v>
      </c>
      <c r="Q85" s="152" t="s">
        <v>8</v>
      </c>
      <c r="R85" s="152" t="s">
        <v>10</v>
      </c>
      <c r="S85" s="152" t="s">
        <v>9</v>
      </c>
      <c r="T85" s="152" t="s">
        <v>219</v>
      </c>
      <c r="U85" s="152"/>
      <c r="V85" s="152" t="s">
        <v>9</v>
      </c>
      <c r="W85" s="152" t="s">
        <v>12</v>
      </c>
      <c r="X85" s="152" t="s">
        <v>13</v>
      </c>
      <c r="Y85" s="152" t="s">
        <v>14</v>
      </c>
      <c r="Z85" s="152" t="s">
        <v>15</v>
      </c>
      <c r="AA85" s="152" t="s">
        <v>16</v>
      </c>
      <c r="AB85" s="152" t="s">
        <v>17</v>
      </c>
      <c r="AC85" s="152" t="s">
        <v>18</v>
      </c>
      <c r="AD85" s="152" t="s">
        <v>19</v>
      </c>
      <c r="AE85" s="152" t="s">
        <v>21</v>
      </c>
      <c r="AF85" s="152" t="s">
        <v>8</v>
      </c>
      <c r="AG85" s="152" t="s">
        <v>222</v>
      </c>
      <c r="AH85" s="152" t="s">
        <v>22</v>
      </c>
      <c r="AI85" s="152" t="s">
        <v>23</v>
      </c>
      <c r="AJ85" s="154" t="s">
        <v>11</v>
      </c>
      <c r="AK85" s="155" t="s">
        <v>217</v>
      </c>
      <c r="AL85" s="155" t="s">
        <v>259</v>
      </c>
      <c r="AM85" s="137"/>
      <c r="AN85" s="137"/>
      <c r="AO85" s="138" t="s">
        <v>155</v>
      </c>
      <c r="AP85" s="184"/>
      <c r="AQ85" s="137" t="s">
        <v>209</v>
      </c>
    </row>
    <row r="86" spans="6:44" ht="20.25" x14ac:dyDescent="0.25">
      <c r="F86" s="3">
        <v>1</v>
      </c>
      <c r="G86" s="64" t="str">
        <f t="array" ref="G86:H87">_xll.PICompDat(Data_mbcb!$H$82,Data_mbcb!$G$4,Data_mbcb!$G$5,9,"pi_server","inside")</f>
        <v>No more values:</v>
      </c>
      <c r="H86" s="65" t="str">
        <v>No more values:</v>
      </c>
      <c r="I86" s="157" t="str">
        <f>IF(OR($G86="",$G86=" ",ISTEXT($G86)),"",_xll.PITimeDat(Data_mbcb!I$82,Data_mbcb!$G86,"pi_server","interpolated"))</f>
        <v/>
      </c>
      <c r="J86" s="157" t="str">
        <f>IF(OR($G86="",$G86=" ",ISTEXT($G86)),"",_xll.PITimeDat(Data_mbcb!J$82,Data_mbcb!$G86,"pi_server","interpolated"))</f>
        <v/>
      </c>
      <c r="K86" s="157" t="str">
        <f>IF(OR($G86="",$G86=" ",ISTEXT($G86)),"",_xll.PITimeDat(Data_mbcb!K$82,Data_mbcb!$G86,"pi_server","interpolated"))</f>
        <v/>
      </c>
      <c r="L86" s="157" t="str">
        <f>IFERROR(J86-K86,"")</f>
        <v/>
      </c>
      <c r="M86" s="157" t="str">
        <f>IF(OR($G86="",$G86=" ",ISTEXT($G86)),"",_xll.PITimeDat(Data_mbcb!M$82,Data_mbcb!$G86,"pi_server","interpolated"))</f>
        <v/>
      </c>
      <c r="N86" s="157" t="str">
        <f>IF(OR($G86="",$G86=" ",ISTEXT($G86)),"",_xll.PITimeDat(Data_mbcb!N$82,Data_mbcb!$G86,"pi_server","interpolated"))</f>
        <v/>
      </c>
      <c r="O86" s="157" t="str">
        <f>IFERROR(M86-N86,"")</f>
        <v/>
      </c>
      <c r="P86" s="157" t="str">
        <f>IF(OR($G86="",$G86=" ",ISTEXT($G86)),"",_xll.PITimeDat(Data_mbcb!P$82,Data_mbcb!$G86,"pi_server","interpolated"))</f>
        <v/>
      </c>
      <c r="Q86" s="157" t="str">
        <f>IF(OR($G86="",$G86=" ",ISTEXT($G86)),"",_xll.PITimeDat(Data_mbcb!Q$82,Data_mbcb!$G86,"pi_server","interpolated"))</f>
        <v/>
      </c>
      <c r="R86" s="157" t="str">
        <f>IF(OR($G86="",$G86=" ",ISTEXT($G86)),"",_xll.PITimeDat(Data_mbcb!R$82,Data_mbcb!$G86,"pi_server","interpolated"))</f>
        <v/>
      </c>
      <c r="S86" s="157" t="str">
        <f>IF(OR($G86="",$G86=" ",ISTEXT($G86)),"",_xll.PITimeDat(Data_mbcb!S$82,Data_mbcb!$G86,"pi_server","interpolated"))</f>
        <v/>
      </c>
      <c r="T86" s="157" t="str">
        <f>IF(OR($G86="",$G86=" ",ISTEXT($G86)),"",_xll.PITimeDat(Data_mbcb!T$82,Data_mbcb!$G86,"pi_server","interpolated"))</f>
        <v/>
      </c>
      <c r="U86" s="157"/>
      <c r="V86" s="157" t="str">
        <f>IF(OR($G86="",$G86=" ",ISTEXT($G86)),"",_xll.PITimeDat(Data_mbcb!V$82,Data_mbcb!$G86,"pi_server","interpolated"))</f>
        <v/>
      </c>
      <c r="W86" s="157" t="str">
        <f>IF(OR($G86="",$G86=" ",ISTEXT($G86)),"",_xll.PITimeDat(Data_mbcb!W$82,Data_mbcb!$G86,"pi_server","interpolated"))</f>
        <v/>
      </c>
      <c r="X86" s="157" t="str">
        <f>IF(OR($G86="",$G86=" ",ISTEXT($G86)),"",_xll.PITimeDat(Data_mbcb!X$82,Data_mbcb!$G86,"pi_server","interpolated"))</f>
        <v/>
      </c>
      <c r="Y86" s="157" t="str">
        <f>IF(OR($G86="",$G86=" ",ISTEXT($G86)),"",_xll.PITimeDat(Data_mbcb!Y$82,Data_mbcb!$G86,"pi_server","interpolated"))</f>
        <v/>
      </c>
      <c r="Z86" s="157" t="str">
        <f>IF(OR($G86="",$G86=" ",ISTEXT($G86)),"",_xll.PITimeDat(Data_mbcb!Z$82,Data_mbcb!$G86,"pi_server","interpolated"))</f>
        <v/>
      </c>
      <c r="AA86" s="157" t="str">
        <f>IF(OR($G86="",$G86=" ",ISTEXT($G86)),"",_xll.PITimeDat(Data_mbcb!AA$82,Data_mbcb!$G86,"pi_server","interpolated"))</f>
        <v/>
      </c>
      <c r="AB86" s="157" t="str">
        <f>IF(OR($G86="",$G86=" ",ISTEXT($G86)),"",_xll.PITimeDat(Data_mbcb!AB$82,Data_mbcb!$G86,"pi_server","interpolated"))</f>
        <v/>
      </c>
      <c r="AC86" s="157" t="str">
        <f>IF(OR($G86="",$G86=" ",ISTEXT($G86)),"",_xll.PITimeDat(Data_mbcb!AC$82,Data_mbcb!$G86,"pi_server","interpolated"))</f>
        <v/>
      </c>
      <c r="AD86" s="157" t="str">
        <f>IF(OR($G86="",$G86=" ",ISTEXT($G86)),"",_xll.PITimeDat(Data_mbcb!AD$82,Data_mbcb!$G86,"pi_server","interpolated"))</f>
        <v/>
      </c>
      <c r="AE86" s="157" t="str">
        <f>IF(OR($G86="",$G86=" ",ISTEXT($G86)),"",_xll.PITimeDat(Data_mbcb!AE$82,Data_mbcb!$G86,"pi_server","interpolated"))</f>
        <v/>
      </c>
      <c r="AF86" s="157" t="str">
        <f>IF(OR($G86="",$G86=" ",ISTEXT($G86)),"",_xll.PITimeDat(Data_mbcb!AF$82,Data_mbcb!$G86,"pi_server","interpolated"))</f>
        <v/>
      </c>
      <c r="AG86" s="157" t="str">
        <f>IF(OR($G86="",$G86=" ",ISTEXT($G86)),"",_xll.PITimeDat(Data_mbcb!AG$82,Data_mbcb!$G86,"pi_server","interpolated"))</f>
        <v/>
      </c>
      <c r="AH86" s="157" t="str">
        <f>IF(OR($G86="",$G86=" ",ISTEXT($G86)),"",_xll.PITimeDat(Data_mbcb!AH$82,Data_mbcb!$G86,"pi_server","interpolated"))</f>
        <v/>
      </c>
      <c r="AI86" s="157" t="str">
        <f>IF(OR($G86="",$G86=" ",ISTEXT($G86)),"",_xll.PITimeDat(Data_mbcb!AI$82,Data_mbcb!$G86,"pi_server","interpolated"))</f>
        <v/>
      </c>
      <c r="AJ86" s="157" t="str">
        <f>IF(OR($G86="",$G86=" ",ISTEXT($G86)),"",_xll.PITimeDat(Data_mbcb!AJ$82,Data_mbcb!$G86,"pi_server","interpolated"))</f>
        <v/>
      </c>
      <c r="AK86" s="157" t="str">
        <f>IF(OR($G86="",$G86=" ",ISTEXT($G86)),"",_xll.PITimeDat(Data_mbcb!AK$31,Data_mbcb!$G86,"pi_server","interpolated"))</f>
        <v/>
      </c>
      <c r="AL86" s="157" t="str">
        <f>IF(OR($G86="",$G86=" ",ISTEXT($G86)),"",_xll.PITimeDat(Data_mbcb!AL$82,Data_mbcb!$G86,"pi_server","interpolated"))</f>
        <v/>
      </c>
      <c r="AM86" s="157"/>
      <c r="AN86" s="157" t="str">
        <f>IF(OR($G86="",$G86=" ",ISTEXT($G86)),"",_xll.PITimeDat(Data_mbcb!AN$82,Data_mbcb!$G86,"pi_server","interpolated"))</f>
        <v/>
      </c>
      <c r="AO86" s="157" t="str">
        <f>IF(OR($G86="",$G86=" ",ISTEXT($G86)),"",_xll.PITimeDat(Data_mbcb!AO$82,Data_mbcb!$G86,"pi_server","interpolated"))</f>
        <v/>
      </c>
      <c r="AP86" s="157" t="str">
        <f>IF(OR($G86="",$G86=" ",ISTEXT($G86)),"",_xll.PITimeDat(Data_mbcb!AP$82,Data_mbcb!$G86,"pi_server","interpolated"))</f>
        <v/>
      </c>
      <c r="AQ86" s="157" t="str">
        <f>IF(OR($G86="",$G86=" ",ISTEXT($G86)),"",_xll.PITimeDat(Data_mbcb!AQ$82,Data_mbcb!$G86,"pi_server","interpolated"))</f>
        <v/>
      </c>
      <c r="AR86" s="157" t="str">
        <f>IF(OR($G86="",$G86=" ",ISTEXT($G86)),"",_xll.PITimeDat(Data_mbcb!AR$82,Data_mbcb!$G86,"pi_server","interpolated"))</f>
        <v/>
      </c>
    </row>
    <row r="87" spans="6:44" ht="20.25" x14ac:dyDescent="0.25">
      <c r="F87" s="3">
        <v>2</v>
      </c>
      <c r="G87" s="64" t="str">
        <v>No more values:</v>
      </c>
      <c r="H87" s="65" t="str">
        <v>No more values:</v>
      </c>
      <c r="I87" s="157" t="str">
        <f>IF(OR($G87="",$G87=" ",ISTEXT($G87)),"",_xll.PITimeDat(Data_mbcb!I$82,Data_mbcb!$G87,"pi_server","interpolated"))</f>
        <v/>
      </c>
      <c r="J87" s="157" t="str">
        <f>IF(OR($G87="",$G87=" ",ISTEXT($G87)),"",_xll.PITimeDat(Data_mbcb!J$82,Data_mbcb!$G87,"pi_server","interpolated"))</f>
        <v/>
      </c>
      <c r="K87" s="157" t="str">
        <f>IF(OR($G87="",$G87=" ",ISTEXT($G87)),"",_xll.PITimeDat(Data_mbcb!K$82,Data_mbcb!$G87,"pi_server","interpolated"))</f>
        <v/>
      </c>
      <c r="L87" s="157" t="str">
        <f t="shared" ref="L87:L95" si="118">IFERROR(J87-K87,"")</f>
        <v/>
      </c>
      <c r="M87" s="157" t="str">
        <f>IF(OR($G87="",$G87=" ",ISTEXT($G87)),"",_xll.PITimeDat(Data_mbcb!M$82,Data_mbcb!$G87,"pi_server","interpolated"))</f>
        <v/>
      </c>
      <c r="N87" s="157" t="str">
        <f>IF(OR($G87="",$G87=" ",ISTEXT($G87)),"",_xll.PITimeDat(Data_mbcb!N$82,Data_mbcb!$G87,"pi_server","interpolated"))</f>
        <v/>
      </c>
      <c r="O87" s="157" t="str">
        <f t="shared" ref="O87:O95" si="119">IFERROR(M87-N87,"")</f>
        <v/>
      </c>
      <c r="P87" s="157" t="str">
        <f>IF(OR($G87="",$G87=" ",ISTEXT($G87)),"",_xll.PITimeDat(Data_mbcb!P$82,Data_mbcb!$G87,"pi_server","interpolated"))</f>
        <v/>
      </c>
      <c r="Q87" s="157" t="str">
        <f>IF(OR($G87="",$G87=" ",ISTEXT($G87)),"",_xll.PITimeDat(Data_mbcb!Q$82,Data_mbcb!$G87,"pi_server","interpolated"))</f>
        <v/>
      </c>
      <c r="R87" s="157" t="str">
        <f>IF(OR($G87="",$G87=" ",ISTEXT($G87)),"",_xll.PITimeDat(Data_mbcb!R$82,Data_mbcb!$G87,"pi_server","interpolated"))</f>
        <v/>
      </c>
      <c r="S87" s="157" t="str">
        <f>IF(OR($G87="",$G87=" ",ISTEXT($G87)),"",_xll.PITimeDat(Data_mbcb!S$82,Data_mbcb!$G87,"pi_server","interpolated"))</f>
        <v/>
      </c>
      <c r="T87" s="157" t="str">
        <f>IF(OR($G87="",$G87=" ",ISTEXT($G87)),"",_xll.PITimeDat(Data_mbcb!T$82,Data_mbcb!$G87,"pi_server","interpolated"))</f>
        <v/>
      </c>
      <c r="U87" s="157"/>
      <c r="V87" s="157" t="str">
        <f>IF(OR($G87="",$G87=" ",ISTEXT($G87)),"",_xll.PITimeDat(Data_mbcb!V$82,Data_mbcb!$G87,"pi_server","interpolated"))</f>
        <v/>
      </c>
      <c r="W87" s="157" t="str">
        <f>IF(OR($G87="",$G87=" ",ISTEXT($G87)),"",_xll.PITimeDat(Data_mbcb!W$82,Data_mbcb!$G87,"pi_server","interpolated"))</f>
        <v/>
      </c>
      <c r="X87" s="157" t="str">
        <f>IF(OR($G87="",$G87=" ",ISTEXT($G87)),"",_xll.PITimeDat(Data_mbcb!X$82,Data_mbcb!$G87,"pi_server","interpolated"))</f>
        <v/>
      </c>
      <c r="Y87" s="157" t="str">
        <f>IF(OR($G87="",$G87=" ",ISTEXT($G87)),"",_xll.PITimeDat(Data_mbcb!Y$82,Data_mbcb!$G87,"pi_server","interpolated"))</f>
        <v/>
      </c>
      <c r="Z87" s="157" t="str">
        <f>IF(OR($G87="",$G87=" ",ISTEXT($G87)),"",_xll.PITimeDat(Data_mbcb!Z$82,Data_mbcb!$G87,"pi_server","interpolated"))</f>
        <v/>
      </c>
      <c r="AA87" s="157" t="str">
        <f>IF(OR($G87="",$G87=" ",ISTEXT($G87)),"",_xll.PITimeDat(Data_mbcb!AA$82,Data_mbcb!$G87,"pi_server","interpolated"))</f>
        <v/>
      </c>
      <c r="AB87" s="157" t="str">
        <f>IF(OR($G87="",$G87=" ",ISTEXT($G87)),"",_xll.PITimeDat(Data_mbcb!AB$82,Data_mbcb!$G87,"pi_server","interpolated"))</f>
        <v/>
      </c>
      <c r="AC87" s="157" t="str">
        <f>IF(OR($G87="",$G87=" ",ISTEXT($G87)),"",_xll.PITimeDat(Data_mbcb!AC$82,Data_mbcb!$G87,"pi_server","interpolated"))</f>
        <v/>
      </c>
      <c r="AD87" s="157" t="str">
        <f>IF(OR($G87="",$G87=" ",ISTEXT($G87)),"",_xll.PITimeDat(Data_mbcb!AD$82,Data_mbcb!$G87,"pi_server","interpolated"))</f>
        <v/>
      </c>
      <c r="AE87" s="157" t="str">
        <f>IF(OR($G87="",$G87=" ",ISTEXT($G87)),"",_xll.PITimeDat(Data_mbcb!AE$82,Data_mbcb!$G87,"pi_server","interpolated"))</f>
        <v/>
      </c>
      <c r="AF87" s="157" t="str">
        <f>IF(OR($G87="",$G87=" ",ISTEXT($G87)),"",_xll.PITimeDat(Data_mbcb!AF$82,Data_mbcb!$G87,"pi_server","interpolated"))</f>
        <v/>
      </c>
      <c r="AG87" s="157" t="str">
        <f>IF(OR($G87="",$G87=" ",ISTEXT($G87)),"",_xll.PITimeDat(Data_mbcb!AG$82,Data_mbcb!$G87,"pi_server","interpolated"))</f>
        <v/>
      </c>
      <c r="AH87" s="157" t="str">
        <f>IF(OR($G87="",$G87=" ",ISTEXT($G87)),"",_xll.PITimeDat(Data_mbcb!AH$82,Data_mbcb!$G87,"pi_server","interpolated"))</f>
        <v/>
      </c>
      <c r="AI87" s="157" t="str">
        <f>IF(OR($G87="",$G87=" ",ISTEXT($G87)),"",_xll.PITimeDat(Data_mbcb!AI$82,Data_mbcb!$G87,"pi_server","interpolated"))</f>
        <v/>
      </c>
      <c r="AJ87" s="157" t="str">
        <f>IF(OR($G87="",$G87=" ",ISTEXT($G87)),"",_xll.PITimeDat(Data_mbcb!AJ$82,Data_mbcb!$G87,"pi_server","interpolated"))</f>
        <v/>
      </c>
      <c r="AK87" s="157" t="str">
        <f>IF(OR($G87="",$G87=" ",ISTEXT($G87)),"",_xll.PITimeDat(Data_mbcb!AK$31,Data_mbcb!$G87,"pi_server","interpolated"))</f>
        <v/>
      </c>
      <c r="AL87" s="157" t="str">
        <f>IF(OR($G87="",$G87=" ",ISTEXT($G87)),"",_xll.PITimeDat(Data_mbcb!AL$82,Data_mbcb!$G87,"pi_server","interpolated"))</f>
        <v/>
      </c>
      <c r="AM87" s="157"/>
      <c r="AN87" s="157" t="str">
        <f>IF(OR($G87="",$G87=" ",ISTEXT($G87)),"",_xll.PITimeDat(Data_mbcb!AN$82,Data_mbcb!$G87,"pi_server","interpolated"))</f>
        <v/>
      </c>
      <c r="AO87" s="157" t="str">
        <f>IF(OR($G87="",$G87=" ",ISTEXT($G87)),"",_xll.PITimeDat(Data_mbcb!AO$82,Data_mbcb!$G87,"pi_server","interpolated"))</f>
        <v/>
      </c>
      <c r="AP87" s="157" t="str">
        <f>IF(OR($G87="",$G87=" ",ISTEXT($G87)),"",_xll.PITimeDat(Data_mbcb!AP$82,Data_mbcb!$G87,"pi_server","interpolated"))</f>
        <v/>
      </c>
      <c r="AQ87" s="157" t="str">
        <f>IF(OR($G87="",$G87=" ",ISTEXT($G87)),"",_xll.PITimeDat(Data_mbcb!AQ$82,Data_mbcb!$G87,"pi_server","interpolated"))</f>
        <v/>
      </c>
      <c r="AR87" s="157" t="str">
        <f>IF(OR($G87="",$G87=" ",ISTEXT($G87)),"",_xll.PITimeDat(Data_mbcb!AR$82,Data_mbcb!$G87,"pi_server","interpolated"))</f>
        <v/>
      </c>
    </row>
    <row r="88" spans="6:44" ht="20.25" x14ac:dyDescent="0.25">
      <c r="F88" s="3">
        <v>3</v>
      </c>
      <c r="G88" s="64"/>
      <c r="H88" s="65"/>
      <c r="I88" s="157" t="str">
        <f>IF(OR($G88="",$G88=" ",ISTEXT($G88)),"",_xll.PITimeDat(Data_mbcb!I$82,Data_mbcb!$G88,"pi_server","interpolated"))</f>
        <v/>
      </c>
      <c r="J88" s="157" t="str">
        <f>IF(OR($G88="",$G88=" ",ISTEXT($G88)),"",_xll.PITimeDat(Data_mbcb!J$82,Data_mbcb!$G88,"pi_server","interpolated"))</f>
        <v/>
      </c>
      <c r="K88" s="157" t="str">
        <f>IF(OR($G88="",$G88=" ",ISTEXT($G88)),"",_xll.PITimeDat(Data_mbcb!K$82,Data_mbcb!$G88,"pi_server","interpolated"))</f>
        <v/>
      </c>
      <c r="L88" s="157" t="str">
        <f>IFERROR(J88-K88,"")</f>
        <v/>
      </c>
      <c r="M88" s="157" t="str">
        <f>IF(OR($G88="",$G88=" ",ISTEXT($G88)),"",_xll.PITimeDat(Data_mbcb!M$82,Data_mbcb!$G88,"pi_server","interpolated"))</f>
        <v/>
      </c>
      <c r="N88" s="157" t="str">
        <f>IF(OR($G88="",$G88=" ",ISTEXT($G88)),"",_xll.PITimeDat(Data_mbcb!N$82,Data_mbcb!$G88,"pi_server","interpolated"))</f>
        <v/>
      </c>
      <c r="O88" s="157" t="str">
        <f>IFERROR(M88-N88,"")</f>
        <v/>
      </c>
      <c r="P88" s="157" t="str">
        <f>IF(OR($G88="",$G88=" ",ISTEXT($G88)),"",_xll.PITimeDat(Data_mbcb!P$82,Data_mbcb!$G88,"pi_server","interpolated"))</f>
        <v/>
      </c>
      <c r="Q88" s="157" t="str">
        <f>IF(OR($G88="",$G88=" ",ISTEXT($G88)),"",_xll.PITimeDat(Data_mbcb!Q$82,Data_mbcb!$G88,"pi_server","interpolated"))</f>
        <v/>
      </c>
      <c r="R88" s="157" t="str">
        <f>IF(OR($G88="",$G88=" ",ISTEXT($G88)),"",_xll.PITimeDat(Data_mbcb!R$82,Data_mbcb!$G88,"pi_server","interpolated"))</f>
        <v/>
      </c>
      <c r="S88" s="157" t="str">
        <f>IF(OR($G88="",$G88=" ",ISTEXT($G88)),"",_xll.PITimeDat(Data_mbcb!S$82,Data_mbcb!$G88,"pi_server","interpolated"))</f>
        <v/>
      </c>
      <c r="T88" s="157" t="str">
        <f>IF(OR($G88="",$G88=" ",ISTEXT($G88)),"",_xll.PITimeDat(Data_mbcb!T$82,Data_mbcb!$G88,"pi_server","interpolated"))</f>
        <v/>
      </c>
      <c r="U88" s="157"/>
      <c r="V88" s="157" t="str">
        <f>IF(OR($G88="",$G88=" ",ISTEXT($G88)),"",_xll.PITimeDat(Data_mbcb!V$82,Data_mbcb!$G88,"pi_server","interpolated"))</f>
        <v/>
      </c>
      <c r="W88" s="157" t="str">
        <f>IF(OR($G88="",$G88=" ",ISTEXT($G88)),"",_xll.PITimeDat(Data_mbcb!W$82,Data_mbcb!$G88,"pi_server","interpolated"))</f>
        <v/>
      </c>
      <c r="X88" s="157" t="str">
        <f>IF(OR($G88="",$G88=" ",ISTEXT($G88)),"",_xll.PITimeDat(Data_mbcb!X$82,Data_mbcb!$G88,"pi_server","interpolated"))</f>
        <v/>
      </c>
      <c r="Y88" s="157" t="str">
        <f>IF(OR($G88="",$G88=" ",ISTEXT($G88)),"",_xll.PITimeDat(Data_mbcb!Y$82,Data_mbcb!$G88,"pi_server","interpolated"))</f>
        <v/>
      </c>
      <c r="Z88" s="157" t="str">
        <f>IF(OR($G88="",$G88=" ",ISTEXT($G88)),"",_xll.PITimeDat(Data_mbcb!Z$82,Data_mbcb!$G88,"pi_server","interpolated"))</f>
        <v/>
      </c>
      <c r="AA88" s="157" t="str">
        <f>IF(OR($G88="",$G88=" ",ISTEXT($G88)),"",_xll.PITimeDat(Data_mbcb!AA$82,Data_mbcb!$G88,"pi_server","interpolated"))</f>
        <v/>
      </c>
      <c r="AB88" s="157" t="str">
        <f>IF(OR($G88="",$G88=" ",ISTEXT($G88)),"",_xll.PITimeDat(Data_mbcb!AB$82,Data_mbcb!$G88,"pi_server","interpolated"))</f>
        <v/>
      </c>
      <c r="AC88" s="157" t="str">
        <f>IF(OR($G88="",$G88=" ",ISTEXT($G88)),"",_xll.PITimeDat(Data_mbcb!AC$82,Data_mbcb!$G88,"pi_server","interpolated"))</f>
        <v/>
      </c>
      <c r="AD88" s="157" t="str">
        <f>IF(OR($G88="",$G88=" ",ISTEXT($G88)),"",_xll.PITimeDat(Data_mbcb!AD$82,Data_mbcb!$G88,"pi_server","interpolated"))</f>
        <v/>
      </c>
      <c r="AE88" s="157" t="str">
        <f>IF(OR($G88="",$G88=" ",ISTEXT($G88)),"",_xll.PITimeDat(Data_mbcb!AE$82,Data_mbcb!$G88,"pi_server","interpolated"))</f>
        <v/>
      </c>
      <c r="AF88" s="157" t="str">
        <f>IF(OR($G88="",$G88=" ",ISTEXT($G88)),"",_xll.PITimeDat(Data_mbcb!AF$82,Data_mbcb!$G88,"pi_server","interpolated"))</f>
        <v/>
      </c>
      <c r="AG88" s="157" t="str">
        <f>IF(OR($G88="",$G88=" ",ISTEXT($G88)),"",_xll.PITimeDat(Data_mbcb!AG$82,Data_mbcb!$G88,"pi_server","interpolated"))</f>
        <v/>
      </c>
      <c r="AH88" s="157" t="str">
        <f>IF(OR($G88="",$G88=" ",ISTEXT($G88)),"",_xll.PITimeDat(Data_mbcb!AH$82,Data_mbcb!$G88,"pi_server","interpolated"))</f>
        <v/>
      </c>
      <c r="AI88" s="157" t="str">
        <f>IF(OR($G88="",$G88=" ",ISTEXT($G88)),"",_xll.PITimeDat(Data_mbcb!AI$82,Data_mbcb!$G88,"pi_server","interpolated"))</f>
        <v/>
      </c>
      <c r="AJ88" s="157" t="str">
        <f>IF(OR($G88="",$G88=" ",ISTEXT($G88)),"",_xll.PITimeDat(Data_mbcb!AJ$82,Data_mbcb!$G88,"pi_server","interpolated"))</f>
        <v/>
      </c>
      <c r="AK88" s="157" t="str">
        <f>IF(OR($G88="",$G88=" ",ISTEXT($G88)),"",_xll.PITimeDat(Data_mbcb!AK$31,Data_mbcb!$G88,"pi_server","interpolated"))</f>
        <v/>
      </c>
      <c r="AL88" s="157" t="str">
        <f>IF(OR($G88="",$G88=" ",ISTEXT($G88)),"",_xll.PITimeDat(Data_mbcb!AL$82,Data_mbcb!$G88,"pi_server","interpolated"))</f>
        <v/>
      </c>
      <c r="AM88" s="157"/>
      <c r="AN88" s="157" t="str">
        <f>IF(OR($G88="",$G88=" ",ISTEXT($G88)),"",_xll.PITimeDat(Data_mbcb!AN$82,Data_mbcb!$G88,"pi_server","interpolated"))</f>
        <v/>
      </c>
      <c r="AO88" s="157" t="str">
        <f>IF(OR($G88="",$G88=" ",ISTEXT($G88)),"",_xll.PITimeDat(Data_mbcb!AO$82,Data_mbcb!$G88,"pi_server","interpolated"))</f>
        <v/>
      </c>
      <c r="AP88" s="157" t="str">
        <f>IF(OR($G88="",$G88=" ",ISTEXT($G88)),"",_xll.PITimeDat(Data_mbcb!AP$82,Data_mbcb!$G88,"pi_server","interpolated"))</f>
        <v/>
      </c>
      <c r="AQ88" s="157" t="str">
        <f>IF(OR($G88="",$G88=" ",ISTEXT($G88)),"",_xll.PITimeDat(Data_mbcb!AQ$82,Data_mbcb!$G88,"pi_server","interpolated"))</f>
        <v/>
      </c>
      <c r="AR88" s="157" t="str">
        <f>IF(OR($G88="",$G88=" ",ISTEXT($G88)),"",_xll.PITimeDat(Data_mbcb!AR$82,Data_mbcb!$G88,"pi_server","interpolated"))</f>
        <v/>
      </c>
    </row>
    <row r="89" spans="6:44" ht="20.25" x14ac:dyDescent="0.25">
      <c r="F89" s="3">
        <v>4</v>
      </c>
      <c r="G89" s="64"/>
      <c r="H89" s="65"/>
      <c r="I89" s="157" t="str">
        <f>IF(OR($G89="",$G89=" ",ISTEXT($G89)),"",_xll.PITimeDat(Data_mbcb!I$82,Data_mbcb!$G89,"pi_server","interpolated"))</f>
        <v/>
      </c>
      <c r="J89" s="157" t="str">
        <f>IF(OR($G89="",$G89=" ",ISTEXT($G89)),"",_xll.PITimeDat(Data_mbcb!J$82,Data_mbcb!$G89,"pi_server","interpolated"))</f>
        <v/>
      </c>
      <c r="K89" s="157" t="str">
        <f>IF(OR($G89="",$G89=" ",ISTEXT($G89)),"",_xll.PITimeDat(Data_mbcb!K$82,Data_mbcb!$G89,"pi_server","interpolated"))</f>
        <v/>
      </c>
      <c r="L89" s="157" t="str">
        <f t="shared" si="118"/>
        <v/>
      </c>
      <c r="M89" s="157" t="str">
        <f>IF(OR($G89="",$G89=" ",ISTEXT($G89)),"",_xll.PITimeDat(Data_mbcb!M$82,Data_mbcb!$G89,"pi_server","interpolated"))</f>
        <v/>
      </c>
      <c r="N89" s="157" t="str">
        <f>IF(OR($G89="",$G89=" ",ISTEXT($G89)),"",_xll.PITimeDat(Data_mbcb!N$82,Data_mbcb!$G89,"pi_server","interpolated"))</f>
        <v/>
      </c>
      <c r="O89" s="157" t="str">
        <f t="shared" si="119"/>
        <v/>
      </c>
      <c r="P89" s="157" t="str">
        <f>IF(OR($G89="",$G89=" ",ISTEXT($G89)),"",_xll.PITimeDat(Data_mbcb!P$82,Data_mbcb!$G89,"pi_server","interpolated"))</f>
        <v/>
      </c>
      <c r="Q89" s="157" t="str">
        <f>IF(OR($G89="",$G89=" ",ISTEXT($G89)),"",_xll.PITimeDat(Data_mbcb!Q$82,Data_mbcb!$G89,"pi_server","interpolated"))</f>
        <v/>
      </c>
      <c r="R89" s="157" t="str">
        <f>IF(OR($G89="",$G89=" ",ISTEXT($G89)),"",_xll.PITimeDat(Data_mbcb!R$82,Data_mbcb!$G89,"pi_server","interpolated"))</f>
        <v/>
      </c>
      <c r="S89" s="157" t="str">
        <f>IF(OR($G89="",$G89=" ",ISTEXT($G89)),"",_xll.PITimeDat(Data_mbcb!S$82,Data_mbcb!$G89,"pi_server","interpolated"))</f>
        <v/>
      </c>
      <c r="T89" s="157" t="str">
        <f>IF(OR($G89="",$G89=" ",ISTEXT($G89)),"",_xll.PITimeDat(Data_mbcb!T$82,Data_mbcb!$G89,"pi_server","interpolated"))</f>
        <v/>
      </c>
      <c r="U89" s="123" t="str">
        <f>IF(ISTEXT(_xll.PIArcVal(Data!T$32,Data!$G89,0,"PI_SERVER","interpolated")),"",_xll.PIArcVal(Data!T$32,Data!$G89,0,"PI_SERVER","interpolated"))</f>
        <v/>
      </c>
      <c r="V89" s="157" t="str">
        <f>IF(OR($G89="",$G89=" ",ISTEXT($G89)),"",_xll.PITimeDat(Data_mbcb!V$82,Data_mbcb!$G89,"pi_server","interpolated"))</f>
        <v/>
      </c>
      <c r="W89" s="157" t="str">
        <f>IF(OR($G89="",$G89=" ",ISTEXT($G89)),"",_xll.PITimeDat(Data_mbcb!W$82,Data_mbcb!$G89,"pi_server","interpolated"))</f>
        <v/>
      </c>
      <c r="X89" s="157" t="str">
        <f>IF(OR($G89="",$G89=" ",ISTEXT($G89)),"",_xll.PITimeDat(Data_mbcb!X$82,Data_mbcb!$G89,"pi_server","interpolated"))</f>
        <v/>
      </c>
      <c r="Y89" s="157" t="str">
        <f>IF(OR($G89="",$G89=" ",ISTEXT($G89)),"",_xll.PITimeDat(Data_mbcb!Y$82,Data_mbcb!$G89,"pi_server","interpolated"))</f>
        <v/>
      </c>
      <c r="Z89" s="157" t="str">
        <f>IF(OR($G89="",$G89=" ",ISTEXT($G89)),"",_xll.PITimeDat(Data_mbcb!Z$82,Data_mbcb!$G89,"pi_server","interpolated"))</f>
        <v/>
      </c>
      <c r="AA89" s="157" t="str">
        <f>IF(OR($G89="",$G89=" ",ISTEXT($G89)),"",_xll.PITimeDat(Data_mbcb!AA$82,Data_mbcb!$G89,"pi_server","interpolated"))</f>
        <v/>
      </c>
      <c r="AB89" s="157" t="str">
        <f>IF(OR($G89="",$G89=" ",ISTEXT($G89)),"",_xll.PITimeDat(Data_mbcb!AB$82,Data_mbcb!$G89,"pi_server","interpolated"))</f>
        <v/>
      </c>
      <c r="AC89" s="157" t="str">
        <f>IF(OR($G89="",$G89=" ",ISTEXT($G89)),"",_xll.PITimeDat(Data_mbcb!AC$82,Data_mbcb!$G89,"pi_server","interpolated"))</f>
        <v/>
      </c>
      <c r="AD89" s="157" t="str">
        <f>IF(OR($G89="",$G89=" ",ISTEXT($G89)),"",_xll.PITimeDat(Data_mbcb!AD$82,Data_mbcb!$G89,"pi_server","interpolated"))</f>
        <v/>
      </c>
      <c r="AE89" s="157" t="str">
        <f>IF(OR($G89="",$G89=" ",ISTEXT($G89)),"",_xll.PITimeDat(Data_mbcb!AE$82,Data_mbcb!$G89,"pi_server","interpolated"))</f>
        <v/>
      </c>
      <c r="AF89" s="157" t="str">
        <f>IF(OR($G89="",$G89=" ",ISTEXT($G89)),"",_xll.PITimeDat(Data_mbcb!AF$82,Data_mbcb!$G89,"pi_server","interpolated"))</f>
        <v/>
      </c>
      <c r="AG89" s="157" t="str">
        <f>IF(OR($G89="",$G89=" ",ISTEXT($G89)),"",_xll.PITimeDat(Data_mbcb!AG$82,Data_mbcb!$G89,"pi_server","interpolated"))</f>
        <v/>
      </c>
      <c r="AH89" s="157" t="str">
        <f>IF(OR($G89="",$G89=" ",ISTEXT($G89)),"",_xll.PITimeDat(Data_mbcb!AH$82,Data_mbcb!$G89,"pi_server","interpolated"))</f>
        <v/>
      </c>
      <c r="AI89" s="157" t="str">
        <f>IF(OR($G89="",$G89=" ",ISTEXT($G89)),"",_xll.PITimeDat(Data_mbcb!AI$82,Data_mbcb!$G89,"pi_server","interpolated"))</f>
        <v/>
      </c>
      <c r="AJ89" s="157" t="str">
        <f>IF(OR($G89="",$G89=" ",ISTEXT($G89)),"",_xll.PITimeDat(Data_mbcb!AJ$82,Data_mbcb!$G89,"pi_server","interpolated"))</f>
        <v/>
      </c>
      <c r="AK89" s="157" t="str">
        <f>IF(OR($G89="",$G89=" ",ISTEXT($G89)),"",_xll.PITimeDat(Data_mbcb!AK$31,Data_mbcb!$G89,"pi_server","interpolated"))</f>
        <v/>
      </c>
      <c r="AL89" s="157" t="str">
        <f>IF(OR($G89="",$G89=" ",ISTEXT($G89)),"",_xll.PITimeDat(Data_mbcb!AL$82,Data_mbcb!$G89,"pi_server","interpolated"))</f>
        <v/>
      </c>
      <c r="AM89" s="66" t="str">
        <f>IF(ISTEXT(_xll.PIArcVal(Data!AK$32,Data!$G89,0,"PI_SERVER","interpolated")),"",_xll.PIArcVal(Data!AK$32,Data!$G89,0,"PI_SERVER","interpolated"))</f>
        <v/>
      </c>
      <c r="AN89" s="157" t="str">
        <f>IF(OR($G89="",$G89=" ",ISTEXT($G89)),"",_xll.PITimeDat(Data_mbcb!AN$82,Data_mbcb!$G89,"pi_server","interpolated"))</f>
        <v/>
      </c>
      <c r="AO89" s="157" t="str">
        <f>IF(OR($G89="",$G89=" ",ISTEXT($G89)),"",_xll.PITimeDat(Data_mbcb!AO$82,Data_mbcb!$G89,"pi_server","interpolated"))</f>
        <v/>
      </c>
      <c r="AP89" s="157" t="str">
        <f>IF(OR($G89="",$G89=" ",ISTEXT($G89)),"",_xll.PITimeDat(Data_mbcb!AP$82,Data_mbcb!$G89,"pi_server","interpolated"))</f>
        <v/>
      </c>
      <c r="AQ89" s="157" t="str">
        <f>IF(OR($G89="",$G89=" ",ISTEXT($G89)),"",_xll.PITimeDat(Data_mbcb!AQ$82,Data_mbcb!$G89,"pi_server","interpolated"))</f>
        <v/>
      </c>
      <c r="AR89" s="157" t="str">
        <f>IF(OR($G89="",$G89=" ",ISTEXT($G89)),"",_xll.PITimeDat(Data_mbcb!AR$82,Data_mbcb!$G89,"pi_server","interpolated"))</f>
        <v/>
      </c>
    </row>
    <row r="90" spans="6:44" ht="20.25" x14ac:dyDescent="0.25">
      <c r="F90" s="3">
        <v>5</v>
      </c>
      <c r="G90" s="64"/>
      <c r="H90" s="65"/>
      <c r="I90" s="157" t="str">
        <f>IF(OR($G90="",$G90=" ",ISTEXT($G90)),"",_xll.PITimeDat(Data_mbcb!I$82,Data_mbcb!$G90,"pi_server","interpolated"))</f>
        <v/>
      </c>
      <c r="J90" s="157" t="str">
        <f>IF(OR($G90="",$G90=" ",ISTEXT($G90)),"",_xll.PITimeDat(Data_mbcb!J$82,Data_mbcb!$G90,"pi_server","interpolated"))</f>
        <v/>
      </c>
      <c r="K90" s="157" t="str">
        <f>IF(OR($G90="",$G90=" ",ISTEXT($G90)),"",_xll.PITimeDat(Data_mbcb!K$82,Data_mbcb!$G90,"pi_server","interpolated"))</f>
        <v/>
      </c>
      <c r="L90" s="157" t="str">
        <f t="shared" si="118"/>
        <v/>
      </c>
      <c r="M90" s="157" t="str">
        <f>IF(OR($G90="",$G90=" ",ISTEXT($G90)),"",_xll.PITimeDat(Data_mbcb!M$82,Data_mbcb!$G90,"pi_server","interpolated"))</f>
        <v/>
      </c>
      <c r="N90" s="157" t="str">
        <f>IF(OR($G90="",$G90=" ",ISTEXT($G90)),"",_xll.PITimeDat(Data_mbcb!N$82,Data_mbcb!$G90,"pi_server","interpolated"))</f>
        <v/>
      </c>
      <c r="O90" s="157" t="str">
        <f t="shared" si="119"/>
        <v/>
      </c>
      <c r="P90" s="157" t="str">
        <f>IF(OR($G90="",$G90=" ",ISTEXT($G90)),"",_xll.PITimeDat(Data_mbcb!P$82,Data_mbcb!$G90,"pi_server","interpolated"))</f>
        <v/>
      </c>
      <c r="Q90" s="157" t="str">
        <f>IF(OR($G90="",$G90=" ",ISTEXT($G90)),"",_xll.PITimeDat(Data_mbcb!Q$82,Data_mbcb!$G90,"pi_server","interpolated"))</f>
        <v/>
      </c>
      <c r="R90" s="157" t="str">
        <f>IF(OR($G90="",$G90=" ",ISTEXT($G90)),"",_xll.PITimeDat(Data_mbcb!R$82,Data_mbcb!$G90,"pi_server","interpolated"))</f>
        <v/>
      </c>
      <c r="S90" s="157" t="str">
        <f>IF(OR($G90="",$G90=" ",ISTEXT($G90)),"",_xll.PITimeDat(Data_mbcb!S$82,Data_mbcb!$G90,"pi_server","interpolated"))</f>
        <v/>
      </c>
      <c r="T90" s="157" t="str">
        <f>IF(OR($G90="",$G90=" ",ISTEXT($G90)),"",_xll.PITimeDat(Data_mbcb!T$82,Data_mbcb!$G90,"pi_server","interpolated"))</f>
        <v/>
      </c>
      <c r="U90" s="123" t="str">
        <f>IF(ISTEXT(_xll.PIArcVal(Data!T$32,Data!$G90,0,"PI_SERVER","interpolated")),"",_xll.PIArcVal(Data!T$32,Data!$G90,0,"PI_SERVER","interpolated"))</f>
        <v/>
      </c>
      <c r="V90" s="157" t="str">
        <f>IF(OR($G90="",$G90=" ",ISTEXT($G90)),"",_xll.PITimeDat(Data_mbcb!V$82,Data_mbcb!$G90,"pi_server","interpolated"))</f>
        <v/>
      </c>
      <c r="W90" s="157" t="str">
        <f>IF(OR($G90="",$G90=" ",ISTEXT($G90)),"",_xll.PITimeDat(Data_mbcb!W$82,Data_mbcb!$G90,"pi_server","interpolated"))</f>
        <v/>
      </c>
      <c r="X90" s="157" t="str">
        <f>IF(OR($G90="",$G90=" ",ISTEXT($G90)),"",_xll.PITimeDat(Data_mbcb!X$82,Data_mbcb!$G90,"pi_server","interpolated"))</f>
        <v/>
      </c>
      <c r="Y90" s="157" t="str">
        <f>IF(OR($G90="",$G90=" ",ISTEXT($G90)),"",_xll.PITimeDat(Data_mbcb!Y$82,Data_mbcb!$G90,"pi_server","interpolated"))</f>
        <v/>
      </c>
      <c r="Z90" s="157" t="str">
        <f>IF(OR($G90="",$G90=" ",ISTEXT($G90)),"",_xll.PITimeDat(Data_mbcb!Z$82,Data_mbcb!$G90,"pi_server","interpolated"))</f>
        <v/>
      </c>
      <c r="AA90" s="157" t="str">
        <f>IF(OR($G90="",$G90=" ",ISTEXT($G90)),"",_xll.PITimeDat(Data_mbcb!AA$82,Data_mbcb!$G90,"pi_server","interpolated"))</f>
        <v/>
      </c>
      <c r="AB90" s="157" t="str">
        <f>IF(OR($G90="",$G90=" ",ISTEXT($G90)),"",_xll.PITimeDat(Data_mbcb!AB$82,Data_mbcb!$G90,"pi_server","interpolated"))</f>
        <v/>
      </c>
      <c r="AC90" s="157" t="str">
        <f>IF(OR($G90="",$G90=" ",ISTEXT($G90)),"",_xll.PITimeDat(Data_mbcb!AC$82,Data_mbcb!$G90,"pi_server","interpolated"))</f>
        <v/>
      </c>
      <c r="AD90" s="157" t="str">
        <f>IF(OR($G90="",$G90=" ",ISTEXT($G90)),"",_xll.PITimeDat(Data_mbcb!AD$82,Data_mbcb!$G90,"pi_server","interpolated"))</f>
        <v/>
      </c>
      <c r="AE90" s="157" t="str">
        <f>IF(OR($G90="",$G90=" ",ISTEXT($G90)),"",_xll.PITimeDat(Data_mbcb!AE$82,Data_mbcb!$G90,"pi_server","interpolated"))</f>
        <v/>
      </c>
      <c r="AF90" s="157" t="str">
        <f>IF(OR($G90="",$G90=" ",ISTEXT($G90)),"",_xll.PITimeDat(Data_mbcb!AF$82,Data_mbcb!$G90,"pi_server","interpolated"))</f>
        <v/>
      </c>
      <c r="AG90" s="157" t="str">
        <f>IF(OR($G90="",$G90=" ",ISTEXT($G90)),"",_xll.PITimeDat(Data_mbcb!AG$82,Data_mbcb!$G90,"pi_server","interpolated"))</f>
        <v/>
      </c>
      <c r="AH90" s="157" t="str">
        <f>IF(OR($G90="",$G90=" ",ISTEXT($G90)),"",_xll.PITimeDat(Data_mbcb!AH$82,Data_mbcb!$G90,"pi_server","interpolated"))</f>
        <v/>
      </c>
      <c r="AI90" s="157" t="str">
        <f>IF(OR($G90="",$G90=" ",ISTEXT($G90)),"",_xll.PITimeDat(Data_mbcb!AI$82,Data_mbcb!$G90,"pi_server","interpolated"))</f>
        <v/>
      </c>
      <c r="AJ90" s="157" t="str">
        <f>IF(OR($G90="",$G90=" ",ISTEXT($G90)),"",_xll.PITimeDat(Data_mbcb!AJ$82,Data_mbcb!$G90,"pi_server","interpolated"))</f>
        <v/>
      </c>
      <c r="AK90" s="157" t="str">
        <f>IF(OR($G90="",$G90=" ",ISTEXT($G90)),"",_xll.PITimeDat(Data_mbcb!AK$31,Data_mbcb!$G90,"pi_server","interpolated"))</f>
        <v/>
      </c>
      <c r="AL90" s="157" t="str">
        <f>IF(OR($G90="",$G90=" ",ISTEXT($G90)),"",_xll.PITimeDat(Data_mbcb!AL$82,Data_mbcb!$G90,"pi_server","interpolated"))</f>
        <v/>
      </c>
      <c r="AM90" s="66" t="str">
        <f>IF(ISTEXT(_xll.PIArcVal(Data!AK$32,Data!$G90,0,"PI_SERVER","interpolated")),"",_xll.PIArcVal(Data!AK$32,Data!$G90,0,"PI_SERVER","interpolated"))</f>
        <v/>
      </c>
      <c r="AN90" s="157" t="str">
        <f>IF(OR($G90="",$G90=" ",ISTEXT($G90)),"",_xll.PITimeDat(Data_mbcb!AN$82,Data_mbcb!$G90,"pi_server","interpolated"))</f>
        <v/>
      </c>
      <c r="AO90" s="157" t="str">
        <f>IF(OR($G90="",$G90=" ",ISTEXT($G90)),"",_xll.PITimeDat(Data_mbcb!AO$82,Data_mbcb!$G90,"pi_server","interpolated"))</f>
        <v/>
      </c>
      <c r="AP90" s="157" t="str">
        <f>IF(OR($G90="",$G90=" ",ISTEXT($G90)),"",_xll.PITimeDat(Data_mbcb!AP$82,Data_mbcb!$G90,"pi_server","interpolated"))</f>
        <v/>
      </c>
      <c r="AQ90" s="157" t="str">
        <f>IF(OR($G90="",$G90=" ",ISTEXT($G90)),"",_xll.PITimeDat(Data_mbcb!AQ$82,Data_mbcb!$G90,"pi_server","interpolated"))</f>
        <v/>
      </c>
      <c r="AR90" s="157" t="str">
        <f>IF(OR($G90="",$G90=" ",ISTEXT($G90)),"",_xll.PITimeDat(Data_mbcb!AR$82,Data_mbcb!$G90,"pi_server","interpolated"))</f>
        <v/>
      </c>
    </row>
    <row r="91" spans="6:44" ht="20.25" x14ac:dyDescent="0.25">
      <c r="F91" s="3">
        <v>6</v>
      </c>
      <c r="G91" s="64"/>
      <c r="H91" s="65"/>
      <c r="I91" s="157" t="str">
        <f>IF(OR($G91="",$G91=" ",ISTEXT($G91)),"",_xll.PITimeDat(Data_mbcb!I$82,Data_mbcb!$G91,"pi_server","interpolated"))</f>
        <v/>
      </c>
      <c r="J91" s="157" t="str">
        <f>IF(OR($G91="",$G91=" ",ISTEXT($G91)),"",_xll.PITimeDat(Data_mbcb!J$82,Data_mbcb!$G91,"pi_server","interpolated"))</f>
        <v/>
      </c>
      <c r="K91" s="157" t="str">
        <f>IF(OR($G91="",$G91=" ",ISTEXT($G91)),"",_xll.PITimeDat(Data_mbcb!K$82,Data_mbcb!$G91,"pi_server","interpolated"))</f>
        <v/>
      </c>
      <c r="L91" s="157" t="str">
        <f t="shared" si="118"/>
        <v/>
      </c>
      <c r="M91" s="157" t="str">
        <f>IF(OR($G91="",$G91=" ",ISTEXT($G91)),"",_xll.PITimeDat(Data_mbcb!M$82,Data_mbcb!$G91,"pi_server","interpolated"))</f>
        <v/>
      </c>
      <c r="N91" s="157" t="str">
        <f>IF(OR($G91="",$G91=" ",ISTEXT($G91)),"",_xll.PITimeDat(Data_mbcb!N$82,Data_mbcb!$G91,"pi_server","interpolated"))</f>
        <v/>
      </c>
      <c r="O91" s="157" t="str">
        <f t="shared" si="119"/>
        <v/>
      </c>
      <c r="P91" s="157" t="str">
        <f>IF(OR($G91="",$G91=" ",ISTEXT($G91)),"",_xll.PITimeDat(Data_mbcb!P$82,Data_mbcb!$G91,"pi_server","interpolated"))</f>
        <v/>
      </c>
      <c r="Q91" s="157" t="str">
        <f>IF(OR($G91="",$G91=" ",ISTEXT($G91)),"",_xll.PITimeDat(Data_mbcb!Q$82,Data_mbcb!$G91,"pi_server","interpolated"))</f>
        <v/>
      </c>
      <c r="R91" s="157" t="str">
        <f>IF(OR($G91="",$G91=" ",ISTEXT($G91)),"",_xll.PITimeDat(Data_mbcb!R$82,Data_mbcb!$G91,"pi_server","interpolated"))</f>
        <v/>
      </c>
      <c r="S91" s="157" t="str">
        <f>IF(OR($G91="",$G91=" ",ISTEXT($G91)),"",_xll.PITimeDat(Data_mbcb!S$82,Data_mbcb!$G91,"pi_server","interpolated"))</f>
        <v/>
      </c>
      <c r="T91" s="157" t="str">
        <f>IF(OR($G91="",$G91=" ",ISTEXT($G91)),"",_xll.PITimeDat(Data_mbcb!T$82,Data_mbcb!$G91,"pi_server","interpolated"))</f>
        <v/>
      </c>
      <c r="U91" s="123" t="str">
        <f>IF(ISTEXT(_xll.PIArcVal(Data!T$32,Data!$G91,0,"PI_SERVER","interpolated")),"",_xll.PIArcVal(Data!T$32,Data!$G91,0,"PI_SERVER","interpolated"))</f>
        <v/>
      </c>
      <c r="V91" s="157" t="str">
        <f>IF(OR($G91="",$G91=" ",ISTEXT($G91)),"",_xll.PITimeDat(Data_mbcb!V$82,Data_mbcb!$G91,"pi_server","interpolated"))</f>
        <v/>
      </c>
      <c r="W91" s="157" t="str">
        <f>IF(OR($G91="",$G91=" ",ISTEXT($G91)),"",_xll.PITimeDat(Data_mbcb!W$82,Data_mbcb!$G91,"pi_server","interpolated"))</f>
        <v/>
      </c>
      <c r="X91" s="157" t="str">
        <f>IF(OR($G91="",$G91=" ",ISTEXT($G91)),"",_xll.PITimeDat(Data_mbcb!X$82,Data_mbcb!$G91,"pi_server","interpolated"))</f>
        <v/>
      </c>
      <c r="Y91" s="157" t="str">
        <f>IF(OR($G91="",$G91=" ",ISTEXT($G91)),"",_xll.PITimeDat(Data_mbcb!Y$82,Data_mbcb!$G91,"pi_server","interpolated"))</f>
        <v/>
      </c>
      <c r="Z91" s="157" t="str">
        <f>IF(OR($G91="",$G91=" ",ISTEXT($G91)),"",_xll.PITimeDat(Data_mbcb!Z$82,Data_mbcb!$G91,"pi_server","interpolated"))</f>
        <v/>
      </c>
      <c r="AA91" s="157" t="str">
        <f>IF(OR($G91="",$G91=" ",ISTEXT($G91)),"",_xll.PITimeDat(Data_mbcb!AA$82,Data_mbcb!$G91,"pi_server","interpolated"))</f>
        <v/>
      </c>
      <c r="AB91" s="157" t="str">
        <f>IF(OR($G91="",$G91=" ",ISTEXT($G91)),"",_xll.PITimeDat(Data_mbcb!AB$82,Data_mbcb!$G91,"pi_server","interpolated"))</f>
        <v/>
      </c>
      <c r="AC91" s="157" t="str">
        <f>IF(OR($G91="",$G91=" ",ISTEXT($G91)),"",_xll.PITimeDat(Data_mbcb!AC$82,Data_mbcb!$G91,"pi_server","interpolated"))</f>
        <v/>
      </c>
      <c r="AD91" s="157" t="str">
        <f>IF(OR($G91="",$G91=" ",ISTEXT($G91)),"",_xll.PITimeDat(Data_mbcb!AD$82,Data_mbcb!$G91,"pi_server","interpolated"))</f>
        <v/>
      </c>
      <c r="AE91" s="157" t="str">
        <f>IF(OR($G91="",$G91=" ",ISTEXT($G91)),"",_xll.PITimeDat(Data_mbcb!AE$82,Data_mbcb!$G91,"pi_server","interpolated"))</f>
        <v/>
      </c>
      <c r="AF91" s="157" t="str">
        <f>IF(OR($G91="",$G91=" ",ISTEXT($G91)),"",_xll.PITimeDat(Data_mbcb!AF$82,Data_mbcb!$G91,"pi_server","interpolated"))</f>
        <v/>
      </c>
      <c r="AG91" s="157" t="str">
        <f>IF(OR($G91="",$G91=" ",ISTEXT($G91)),"",_xll.PITimeDat(Data_mbcb!AG$82,Data_mbcb!$G91,"pi_server","interpolated"))</f>
        <v/>
      </c>
      <c r="AH91" s="157" t="str">
        <f>IF(OR($G91="",$G91=" ",ISTEXT($G91)),"",_xll.PITimeDat(Data_mbcb!AH$82,Data_mbcb!$G91,"pi_server","interpolated"))</f>
        <v/>
      </c>
      <c r="AI91" s="157" t="str">
        <f>IF(OR($G91="",$G91=" ",ISTEXT($G91)),"",_xll.PITimeDat(Data_mbcb!AI$82,Data_mbcb!$G91,"pi_server","interpolated"))</f>
        <v/>
      </c>
      <c r="AJ91" s="157" t="str">
        <f>IF(OR($G91="",$G91=" ",ISTEXT($G91)),"",_xll.PITimeDat(Data_mbcb!AJ$82,Data_mbcb!$G91,"pi_server","interpolated"))</f>
        <v/>
      </c>
      <c r="AK91" s="157" t="str">
        <f>IF(OR($G91="",$G91=" ",ISTEXT($G91)),"",_xll.PITimeDat(Data_mbcb!AK$31,Data_mbcb!$G91,"pi_server","interpolated"))</f>
        <v/>
      </c>
      <c r="AL91" s="157" t="str">
        <f>IF(OR($G91="",$G91=" ",ISTEXT($G91)),"",_xll.PITimeDat(Data_mbcb!AL$82,Data_mbcb!$G91,"pi_server","interpolated"))</f>
        <v/>
      </c>
      <c r="AM91" s="66" t="str">
        <f>IF(ISTEXT(_xll.PIArcVal(Data!AK$32,Data!$G91,0,"PI_SERVER","interpolated")),"",_xll.PIArcVal(Data!AK$32,Data!$G91,0,"PI_SERVER","interpolated"))</f>
        <v/>
      </c>
      <c r="AN91" s="157" t="str">
        <f>IF(OR($G91="",$G91=" ",ISTEXT($G91)),"",_xll.PITimeDat(Data_mbcb!AN$82,Data_mbcb!$G91,"pi_server","interpolated"))</f>
        <v/>
      </c>
      <c r="AO91" s="157" t="str">
        <f>IF(OR($G91="",$G91=" ",ISTEXT($G91)),"",_xll.PITimeDat(Data_mbcb!AO$82,Data_mbcb!$G91,"pi_server","interpolated"))</f>
        <v/>
      </c>
      <c r="AP91" s="157" t="str">
        <f>IF(OR($G91="",$G91=" ",ISTEXT($G91)),"",_xll.PITimeDat(Data_mbcb!AP$82,Data_mbcb!$G91,"pi_server","interpolated"))</f>
        <v/>
      </c>
      <c r="AQ91" s="157" t="str">
        <f>IF(OR($G91="",$G91=" ",ISTEXT($G91)),"",_xll.PITimeDat(Data_mbcb!AQ$82,Data_mbcb!$G91,"pi_server","interpolated"))</f>
        <v/>
      </c>
      <c r="AR91" s="157" t="str">
        <f>IF(OR($G91="",$G91=" ",ISTEXT($G91)),"",_xll.PITimeDat(Data_mbcb!AR$82,Data_mbcb!$G91,"pi_server","interpolated"))</f>
        <v/>
      </c>
    </row>
    <row r="92" spans="6:44" ht="20.25" x14ac:dyDescent="0.25">
      <c r="F92" s="3">
        <v>7</v>
      </c>
      <c r="G92" s="64"/>
      <c r="H92" s="65"/>
      <c r="I92" s="157" t="str">
        <f>IF(OR($G92="",$G92=" ",ISTEXT($G92)),"",_xll.PITimeDat(Data_mbcb!I$82,Data_mbcb!$G92,"pi_server","interpolated"))</f>
        <v/>
      </c>
      <c r="J92" s="157" t="str">
        <f>IF(OR($G92="",$G92=" ",ISTEXT($G92)),"",_xll.PITimeDat(Data_mbcb!J$82,Data_mbcb!$G92,"pi_server","interpolated"))</f>
        <v/>
      </c>
      <c r="K92" s="157" t="str">
        <f>IF(OR($G92="",$G92=" ",ISTEXT($G92)),"",_xll.PITimeDat(Data_mbcb!K$82,Data_mbcb!$G92,"pi_server","interpolated"))</f>
        <v/>
      </c>
      <c r="L92" s="157" t="str">
        <f t="shared" si="118"/>
        <v/>
      </c>
      <c r="M92" s="157" t="str">
        <f>IF(OR($G92="",$G92=" ",ISTEXT($G92)),"",_xll.PITimeDat(Data_mbcb!M$82,Data_mbcb!$G92,"pi_server","interpolated"))</f>
        <v/>
      </c>
      <c r="N92" s="157" t="str">
        <f>IF(OR($G92="",$G92=" ",ISTEXT($G92)),"",_xll.PITimeDat(Data_mbcb!N$82,Data_mbcb!$G92,"pi_server","interpolated"))</f>
        <v/>
      </c>
      <c r="O92" s="157" t="str">
        <f t="shared" si="119"/>
        <v/>
      </c>
      <c r="P92" s="157" t="str">
        <f>IF(OR($G92="",$G92=" ",ISTEXT($G92)),"",_xll.PITimeDat(Data_mbcb!P$82,Data_mbcb!$G92,"pi_server","interpolated"))</f>
        <v/>
      </c>
      <c r="Q92" s="157" t="str">
        <f>IF(OR($G92="",$G92=" ",ISTEXT($G92)),"",_xll.PITimeDat(Data_mbcb!Q$82,Data_mbcb!$G92,"pi_server","interpolated"))</f>
        <v/>
      </c>
      <c r="R92" s="157" t="str">
        <f>IF(OR($G92="",$G92=" ",ISTEXT($G92)),"",_xll.PITimeDat(Data_mbcb!R$82,Data_mbcb!$G92,"pi_server","interpolated"))</f>
        <v/>
      </c>
      <c r="S92" s="157" t="str">
        <f>IF(OR($G92="",$G92=" ",ISTEXT($G92)),"",_xll.PITimeDat(Data_mbcb!S$82,Data_mbcb!$G92,"pi_server","interpolated"))</f>
        <v/>
      </c>
      <c r="T92" s="157" t="str">
        <f>IF(OR($G92="",$G92=" ",ISTEXT($G92)),"",_xll.PITimeDat(Data_mbcb!T$82,Data_mbcb!$G92,"pi_server","interpolated"))</f>
        <v/>
      </c>
      <c r="U92" s="123" t="str">
        <f>IF(ISTEXT(_xll.PIArcVal(Data!T$32,Data!$G92,0,"PI_SERVER","interpolated")),"",_xll.PIArcVal(Data!T$32,Data!$G92,0,"PI_SERVER","interpolated"))</f>
        <v/>
      </c>
      <c r="V92" s="157" t="str">
        <f>IF(OR($G92="",$G92=" ",ISTEXT($G92)),"",_xll.PITimeDat(Data_mbcb!V$82,Data_mbcb!$G92,"pi_server","interpolated"))</f>
        <v/>
      </c>
      <c r="W92" s="157" t="str">
        <f>IF(OR($G92="",$G92=" ",ISTEXT($G92)),"",_xll.PITimeDat(Data_mbcb!W$82,Data_mbcb!$G92,"pi_server","interpolated"))</f>
        <v/>
      </c>
      <c r="X92" s="157" t="str">
        <f>IF(OR($G92="",$G92=" ",ISTEXT($G92)),"",_xll.PITimeDat(Data_mbcb!X$82,Data_mbcb!$G92,"pi_server","interpolated"))</f>
        <v/>
      </c>
      <c r="Y92" s="157" t="str">
        <f>IF(OR($G92="",$G92=" ",ISTEXT($G92)),"",_xll.PITimeDat(Data_mbcb!Y$82,Data_mbcb!$G92,"pi_server","interpolated"))</f>
        <v/>
      </c>
      <c r="Z92" s="157" t="str">
        <f>IF(OR($G92="",$G92=" ",ISTEXT($G92)),"",_xll.PITimeDat(Data_mbcb!Z$82,Data_mbcb!$G92,"pi_server","interpolated"))</f>
        <v/>
      </c>
      <c r="AA92" s="157" t="str">
        <f>IF(OR($G92="",$G92=" ",ISTEXT($G92)),"",_xll.PITimeDat(Data_mbcb!AA$82,Data_mbcb!$G92,"pi_server","interpolated"))</f>
        <v/>
      </c>
      <c r="AB92" s="157" t="str">
        <f>IF(OR($G92="",$G92=" ",ISTEXT($G92)),"",_xll.PITimeDat(Data_mbcb!AB$82,Data_mbcb!$G92,"pi_server","interpolated"))</f>
        <v/>
      </c>
      <c r="AC92" s="157" t="str">
        <f>IF(OR($G92="",$G92=" ",ISTEXT($G92)),"",_xll.PITimeDat(Data_mbcb!AC$82,Data_mbcb!$G92,"pi_server","interpolated"))</f>
        <v/>
      </c>
      <c r="AD92" s="157" t="str">
        <f>IF(OR($G92="",$G92=" ",ISTEXT($G92)),"",_xll.PITimeDat(Data_mbcb!AD$82,Data_mbcb!$G92,"pi_server","interpolated"))</f>
        <v/>
      </c>
      <c r="AE92" s="157" t="str">
        <f>IF(OR($G92="",$G92=" ",ISTEXT($G92)),"",_xll.PITimeDat(Data_mbcb!AE$82,Data_mbcb!$G92,"pi_server","interpolated"))</f>
        <v/>
      </c>
      <c r="AF92" s="157" t="str">
        <f>IF(OR($G92="",$G92=" ",ISTEXT($G92)),"",_xll.PITimeDat(Data_mbcb!AF$82,Data_mbcb!$G92,"pi_server","interpolated"))</f>
        <v/>
      </c>
      <c r="AG92" s="157" t="str">
        <f>IF(OR($G92="",$G92=" ",ISTEXT($G92)),"",_xll.PITimeDat(Data_mbcb!AG$82,Data_mbcb!$G92,"pi_server","interpolated"))</f>
        <v/>
      </c>
      <c r="AH92" s="157" t="str">
        <f>IF(OR($G92="",$G92=" ",ISTEXT($G92)),"",_xll.PITimeDat(Data_mbcb!AH$82,Data_mbcb!$G92,"pi_server","interpolated"))</f>
        <v/>
      </c>
      <c r="AI92" s="157" t="str">
        <f>IF(OR($G92="",$G92=" ",ISTEXT($G92)),"",_xll.PITimeDat(Data_mbcb!AI$82,Data_mbcb!$G92,"pi_server","interpolated"))</f>
        <v/>
      </c>
      <c r="AJ92" s="157" t="str">
        <f>IF(OR($G92="",$G92=" ",ISTEXT($G92)),"",_xll.PITimeDat(Data_mbcb!AJ$82,Data_mbcb!$G92,"pi_server","interpolated"))</f>
        <v/>
      </c>
      <c r="AK92" s="157" t="str">
        <f>IF(OR($G92="",$G92=" ",ISTEXT($G92)),"",_xll.PITimeDat(Data_mbcb!AK$31,Data_mbcb!$G92,"pi_server","interpolated"))</f>
        <v/>
      </c>
      <c r="AL92" s="157" t="str">
        <f>IF(OR($G92="",$G92=" ",ISTEXT($G92)),"",_xll.PITimeDat(Data_mbcb!AL$82,Data_mbcb!$G92,"pi_server","interpolated"))</f>
        <v/>
      </c>
      <c r="AM92" s="66" t="str">
        <f>IF(ISTEXT(_xll.PIArcVal(Data!AK$32,Data!$G92,0,"PI_SERVER","interpolated")),"",_xll.PIArcVal(Data!AK$32,Data!$G92,0,"PI_SERVER","interpolated"))</f>
        <v/>
      </c>
      <c r="AN92" s="157" t="str">
        <f>IF(OR($G92="",$G92=" ",ISTEXT($G92)),"",_xll.PITimeDat(Data_mbcb!AN$82,Data_mbcb!$G92,"pi_server","interpolated"))</f>
        <v/>
      </c>
      <c r="AO92" s="157" t="str">
        <f>IF(OR($G92="",$G92=" ",ISTEXT($G92)),"",_xll.PITimeDat(Data_mbcb!AO$82,Data_mbcb!$G92,"pi_server","interpolated"))</f>
        <v/>
      </c>
      <c r="AP92" s="157" t="str">
        <f>IF(OR($G92="",$G92=" ",ISTEXT($G92)),"",_xll.PITimeDat(Data_mbcb!AP$82,Data_mbcb!$G92,"pi_server","interpolated"))</f>
        <v/>
      </c>
      <c r="AQ92" s="157" t="str">
        <f>IF(OR($G92="",$G92=" ",ISTEXT($G92)),"",_xll.PITimeDat(Data_mbcb!AQ$82,Data_mbcb!$G92,"pi_server","interpolated"))</f>
        <v/>
      </c>
      <c r="AR92" s="157" t="str">
        <f>IF(OR($G92="",$G92=" ",ISTEXT($G92)),"",_xll.PITimeDat(Data_mbcb!AR$82,Data_mbcb!$G92,"pi_server","interpolated"))</f>
        <v/>
      </c>
    </row>
    <row r="93" spans="6:44" ht="20.25" x14ac:dyDescent="0.25">
      <c r="F93" s="3">
        <v>8</v>
      </c>
      <c r="G93" s="64"/>
      <c r="H93" s="65"/>
      <c r="I93" s="157" t="str">
        <f>IF(OR($G93="",$G93=" ",ISTEXT($G93)),"",_xll.PITimeDat(Data_mbcb!I$82,Data_mbcb!$G93,"pi_server","interpolated"))</f>
        <v/>
      </c>
      <c r="J93" s="157" t="str">
        <f>IF(OR($G93="",$G93=" ",ISTEXT($G93)),"",_xll.PITimeDat(Data_mbcb!J$82,Data_mbcb!$G93,"pi_server","interpolated"))</f>
        <v/>
      </c>
      <c r="K93" s="157" t="str">
        <f>IF(OR($G93="",$G93=" ",ISTEXT($G93)),"",_xll.PITimeDat(Data_mbcb!K$82,Data_mbcb!$G93,"pi_server","interpolated"))</f>
        <v/>
      </c>
      <c r="L93" s="157" t="str">
        <f t="shared" si="118"/>
        <v/>
      </c>
      <c r="M93" s="157" t="str">
        <f>IF(OR($G93="",$G93=" ",ISTEXT($G93)),"",_xll.PITimeDat(Data_mbcb!M$82,Data_mbcb!$G93,"pi_server","interpolated"))</f>
        <v/>
      </c>
      <c r="N93" s="157" t="str">
        <f>IF(OR($G93="",$G93=" ",ISTEXT($G93)),"",_xll.PITimeDat(Data_mbcb!N$82,Data_mbcb!$G93,"pi_server","interpolated"))</f>
        <v/>
      </c>
      <c r="O93" s="157" t="str">
        <f t="shared" si="119"/>
        <v/>
      </c>
      <c r="P93" s="157" t="str">
        <f>IF(OR($G93="",$G93=" ",ISTEXT($G93)),"",_xll.PITimeDat(Data_mbcb!P$82,Data_mbcb!$G93,"pi_server","interpolated"))</f>
        <v/>
      </c>
      <c r="Q93" s="157" t="str">
        <f>IF(OR($G93="",$G93=" ",ISTEXT($G93)),"",_xll.PITimeDat(Data_mbcb!Q$82,Data_mbcb!$G93,"pi_server","interpolated"))</f>
        <v/>
      </c>
      <c r="R93" s="157" t="str">
        <f>IF(OR($G93="",$G93=" ",ISTEXT($G93)),"",_xll.PITimeDat(Data_mbcb!R$82,Data_mbcb!$G93,"pi_server","interpolated"))</f>
        <v/>
      </c>
      <c r="S93" s="157" t="str">
        <f>IF(OR($G93="",$G93=" ",ISTEXT($G93)),"",_xll.PITimeDat(Data_mbcb!S$82,Data_mbcb!$G93,"pi_server","interpolated"))</f>
        <v/>
      </c>
      <c r="T93" s="157" t="str">
        <f>IF(OR($G93="",$G93=" ",ISTEXT($G93)),"",_xll.PITimeDat(Data_mbcb!T$82,Data_mbcb!$G93,"pi_server","interpolated"))</f>
        <v/>
      </c>
      <c r="U93" s="123" t="str">
        <f>IF(ISTEXT(_xll.PIArcVal(Data!T$32,Data!$G93,0,"PI_SERVER","interpolated")),"",_xll.PIArcVal(Data!T$32,Data!$G93,0,"PI_SERVER","interpolated"))</f>
        <v/>
      </c>
      <c r="V93" s="157" t="str">
        <f>IF(OR($G93="",$G93=" ",ISTEXT($G93)),"",_xll.PITimeDat(Data_mbcb!V$82,Data_mbcb!$G93,"pi_server","interpolated"))</f>
        <v/>
      </c>
      <c r="W93" s="157" t="str">
        <f>IF(OR($G93="",$G93=" ",ISTEXT($G93)),"",_xll.PITimeDat(Data_mbcb!W$82,Data_mbcb!$G93,"pi_server","interpolated"))</f>
        <v/>
      </c>
      <c r="X93" s="157" t="str">
        <f>IF(OR($G93="",$G93=" ",ISTEXT($G93)),"",_xll.PITimeDat(Data_mbcb!X$82,Data_mbcb!$G93,"pi_server","interpolated"))</f>
        <v/>
      </c>
      <c r="Y93" s="157" t="str">
        <f>IF(OR($G93="",$G93=" ",ISTEXT($G93)),"",_xll.PITimeDat(Data_mbcb!Y$82,Data_mbcb!$G93,"pi_server","interpolated"))</f>
        <v/>
      </c>
      <c r="Z93" s="157" t="str">
        <f>IF(OR($G93="",$G93=" ",ISTEXT($G93)),"",_xll.PITimeDat(Data_mbcb!Z$82,Data_mbcb!$G93,"pi_server","interpolated"))</f>
        <v/>
      </c>
      <c r="AA93" s="157" t="str">
        <f>IF(OR($G93="",$G93=" ",ISTEXT($G93)),"",_xll.PITimeDat(Data_mbcb!AA$82,Data_mbcb!$G93,"pi_server","interpolated"))</f>
        <v/>
      </c>
      <c r="AB93" s="157" t="str">
        <f>IF(OR($G93="",$G93=" ",ISTEXT($G93)),"",_xll.PITimeDat(Data_mbcb!AB$82,Data_mbcb!$G93,"pi_server","interpolated"))</f>
        <v/>
      </c>
      <c r="AC93" s="157" t="str">
        <f>IF(OR($G93="",$G93=" ",ISTEXT($G93)),"",_xll.PITimeDat(Data_mbcb!AC$82,Data_mbcb!$G93,"pi_server","interpolated"))</f>
        <v/>
      </c>
      <c r="AD93" s="157" t="str">
        <f>IF(OR($G93="",$G93=" ",ISTEXT($G93)),"",_xll.PITimeDat(Data_mbcb!AD$82,Data_mbcb!$G93,"pi_server","interpolated"))</f>
        <v/>
      </c>
      <c r="AE93" s="157" t="str">
        <f>IF(OR($G93="",$G93=" ",ISTEXT($G93)),"",_xll.PITimeDat(Data_mbcb!AE$82,Data_mbcb!$G93,"pi_server","interpolated"))</f>
        <v/>
      </c>
      <c r="AF93" s="157" t="str">
        <f>IF(OR($G93="",$G93=" ",ISTEXT($G93)),"",_xll.PITimeDat(Data_mbcb!AF$82,Data_mbcb!$G93,"pi_server","interpolated"))</f>
        <v/>
      </c>
      <c r="AG93" s="157" t="str">
        <f>IF(OR($G93="",$G93=" ",ISTEXT($G93)),"",_xll.PITimeDat(Data_mbcb!AG$82,Data_mbcb!$G93,"pi_server","interpolated"))</f>
        <v/>
      </c>
      <c r="AH93" s="157" t="str">
        <f>IF(OR($G93="",$G93=" ",ISTEXT($G93)),"",_xll.PITimeDat(Data_mbcb!AH$82,Data_mbcb!$G93,"pi_server","interpolated"))</f>
        <v/>
      </c>
      <c r="AI93" s="157" t="str">
        <f>IF(OR($G93="",$G93=" ",ISTEXT($G93)),"",_xll.PITimeDat(Data_mbcb!AI$82,Data_mbcb!$G93,"pi_server","interpolated"))</f>
        <v/>
      </c>
      <c r="AJ93" s="157" t="str">
        <f>IF(OR($G93="",$G93=" ",ISTEXT($G93)),"",_xll.PITimeDat(Data_mbcb!AJ$82,Data_mbcb!$G93,"pi_server","interpolated"))</f>
        <v/>
      </c>
      <c r="AK93" s="157" t="str">
        <f>IF(OR($G93="",$G93=" ",ISTEXT($G93)),"",_xll.PITimeDat(Data_mbcb!AK$31,Data_mbcb!$G93,"pi_server","interpolated"))</f>
        <v/>
      </c>
      <c r="AL93" s="157" t="str">
        <f>IF(OR($G93="",$G93=" ",ISTEXT($G93)),"",_xll.PITimeDat(Data_mbcb!AL$82,Data_mbcb!$G93,"pi_server","interpolated"))</f>
        <v/>
      </c>
      <c r="AM93" s="66" t="str">
        <f>IF(ISTEXT(_xll.PIArcVal(Data!AK$32,Data!$G93,0,"PI_SERVER","interpolated")),"",_xll.PIArcVal(Data!AK$32,Data!$G93,0,"PI_SERVER","interpolated"))</f>
        <v/>
      </c>
      <c r="AN93" s="157" t="str">
        <f>IF(OR($G93="",$G93=" ",ISTEXT($G93)),"",_xll.PITimeDat(Data_mbcb!AN$82,Data_mbcb!$G93,"pi_server","interpolated"))</f>
        <v/>
      </c>
      <c r="AO93" s="157" t="str">
        <f>IF(OR($G93="",$G93=" ",ISTEXT($G93)),"",_xll.PITimeDat(Data_mbcb!AO$82,Data_mbcb!$G93,"pi_server","interpolated"))</f>
        <v/>
      </c>
      <c r="AP93" s="157" t="str">
        <f>IF(OR($G93="",$G93=" ",ISTEXT($G93)),"",_xll.PITimeDat(Data_mbcb!AP$82,Data_mbcb!$G93,"pi_server","interpolated"))</f>
        <v/>
      </c>
      <c r="AQ93" s="157" t="str">
        <f>IF(OR($G93="",$G93=" ",ISTEXT($G93)),"",_xll.PITimeDat(Data_mbcb!AQ$82,Data_mbcb!$G93,"pi_server","interpolated"))</f>
        <v/>
      </c>
      <c r="AR93" s="157" t="str">
        <f>IF(OR($G93="",$G93=" ",ISTEXT($G93)),"",_xll.PITimeDat(Data_mbcb!AR$82,Data_mbcb!$G93,"pi_server","interpolated"))</f>
        <v/>
      </c>
    </row>
    <row r="94" spans="6:44" ht="20.25" x14ac:dyDescent="0.25">
      <c r="F94" s="3">
        <v>9</v>
      </c>
      <c r="G94" s="64"/>
      <c r="H94" s="65"/>
      <c r="I94" s="157" t="str">
        <f>IF(OR($G94="",$G94=" ",ISTEXT($G94)),"",_xll.PITimeDat(Data_mbcb!I$82,Data_mbcb!$G94,"pi_server","interpolated"))</f>
        <v/>
      </c>
      <c r="J94" s="157" t="str">
        <f>IF(OR($G94="",$G94=" ",ISTEXT($G94)),"",_xll.PITimeDat(Data_mbcb!J$82,Data_mbcb!$G94,"pi_server","interpolated"))</f>
        <v/>
      </c>
      <c r="K94" s="157" t="str">
        <f>IF(OR($G94="",$G94=" ",ISTEXT($G94)),"",_xll.PITimeDat(Data_mbcb!K$82,Data_mbcb!$G94,"pi_server","interpolated"))</f>
        <v/>
      </c>
      <c r="L94" s="157" t="str">
        <f t="shared" si="118"/>
        <v/>
      </c>
      <c r="M94" s="157" t="str">
        <f>IF(OR($G94="",$G94=" ",ISTEXT($G94)),"",_xll.PITimeDat(Data_mbcb!M$82,Data_mbcb!$G94,"pi_server","interpolated"))</f>
        <v/>
      </c>
      <c r="N94" s="157" t="str">
        <f>IF(OR($G94="",$G94=" ",ISTEXT($G94)),"",_xll.PITimeDat(Data_mbcb!N$82,Data_mbcb!$G94,"pi_server","interpolated"))</f>
        <v/>
      </c>
      <c r="O94" s="157" t="str">
        <f t="shared" si="119"/>
        <v/>
      </c>
      <c r="P94" s="157" t="str">
        <f>IF(OR($G94="",$G94=" ",ISTEXT($G94)),"",_xll.PITimeDat(Data_mbcb!P$82,Data_mbcb!$G94,"pi_server","interpolated"))</f>
        <v/>
      </c>
      <c r="Q94" s="157" t="str">
        <f>IF(OR($G94="",$G94=" ",ISTEXT($G94)),"",_xll.PITimeDat(Data_mbcb!Q$82,Data_mbcb!$G94,"pi_server","interpolated"))</f>
        <v/>
      </c>
      <c r="R94" s="157" t="str">
        <f>IF(OR($G94="",$G94=" ",ISTEXT($G94)),"",_xll.PITimeDat(Data_mbcb!R$82,Data_mbcb!$G94,"pi_server","interpolated"))</f>
        <v/>
      </c>
      <c r="S94" s="157" t="str">
        <f>IF(OR($G94="",$G94=" ",ISTEXT($G94)),"",_xll.PITimeDat(Data_mbcb!S$82,Data_mbcb!$G94,"pi_server","interpolated"))</f>
        <v/>
      </c>
      <c r="T94" s="157" t="str">
        <f>IF(OR($G94="",$G94=" ",ISTEXT($G94)),"",_xll.PITimeDat(Data_mbcb!T$82,Data_mbcb!$G94,"pi_server","interpolated"))</f>
        <v/>
      </c>
      <c r="U94" s="123" t="str">
        <f>IF(ISTEXT(_xll.PIArcVal(Data!T$32,Data!$G94,0,"PI_SERVER","interpolated")),"",_xll.PIArcVal(Data!T$32,Data!$G94,0,"PI_SERVER","interpolated"))</f>
        <v/>
      </c>
      <c r="V94" s="157" t="str">
        <f>IF(OR($G94="",$G94=" ",ISTEXT($G94)),"",_xll.PITimeDat(Data_mbcb!V$82,Data_mbcb!$G94,"pi_server","interpolated"))</f>
        <v/>
      </c>
      <c r="W94" s="157" t="str">
        <f>IF(OR($G94="",$G94=" ",ISTEXT($G94)),"",_xll.PITimeDat(Data_mbcb!W$82,Data_mbcb!$G94,"pi_server","interpolated"))</f>
        <v/>
      </c>
      <c r="X94" s="157" t="str">
        <f>IF(OR($G94="",$G94=" ",ISTEXT($G94)),"",_xll.PITimeDat(Data_mbcb!X$82,Data_mbcb!$G94,"pi_server","interpolated"))</f>
        <v/>
      </c>
      <c r="Y94" s="157" t="str">
        <f>IF(OR($G94="",$G94=" ",ISTEXT($G94)),"",_xll.PITimeDat(Data_mbcb!Y$82,Data_mbcb!$G94,"pi_server","interpolated"))</f>
        <v/>
      </c>
      <c r="Z94" s="157" t="str">
        <f>IF(OR($G94="",$G94=" ",ISTEXT($G94)),"",_xll.PITimeDat(Data_mbcb!Z$82,Data_mbcb!$G94,"pi_server","interpolated"))</f>
        <v/>
      </c>
      <c r="AA94" s="157" t="str">
        <f>IF(OR($G94="",$G94=" ",ISTEXT($G94)),"",_xll.PITimeDat(Data_mbcb!AA$82,Data_mbcb!$G94,"pi_server","interpolated"))</f>
        <v/>
      </c>
      <c r="AB94" s="157" t="str">
        <f>IF(OR($G94="",$G94=" ",ISTEXT($G94)),"",_xll.PITimeDat(Data_mbcb!AB$82,Data_mbcb!$G94,"pi_server","interpolated"))</f>
        <v/>
      </c>
      <c r="AC94" s="157" t="str">
        <f>IF(OR($G94="",$G94=" ",ISTEXT($G94)),"",_xll.PITimeDat(Data_mbcb!AC$82,Data_mbcb!$G94,"pi_server","interpolated"))</f>
        <v/>
      </c>
      <c r="AD94" s="157" t="str">
        <f>IF(OR($G94="",$G94=" ",ISTEXT($G94)),"",_xll.PITimeDat(Data_mbcb!AD$82,Data_mbcb!$G94,"pi_server","interpolated"))</f>
        <v/>
      </c>
      <c r="AE94" s="157" t="str">
        <f>IF(OR($G94="",$G94=" ",ISTEXT($G94)),"",_xll.PITimeDat(Data_mbcb!AE$82,Data_mbcb!$G94,"pi_server","interpolated"))</f>
        <v/>
      </c>
      <c r="AF94" s="157" t="str">
        <f>IF(OR($G94="",$G94=" ",ISTEXT($G94)),"",_xll.PITimeDat(Data_mbcb!AF$82,Data_mbcb!$G94,"pi_server","interpolated"))</f>
        <v/>
      </c>
      <c r="AG94" s="157" t="str">
        <f>IF(OR($G94="",$G94=" ",ISTEXT($G94)),"",_xll.PITimeDat(Data_mbcb!AG$82,Data_mbcb!$G94,"pi_server","interpolated"))</f>
        <v/>
      </c>
      <c r="AH94" s="157" t="str">
        <f>IF(OR($G94="",$G94=" ",ISTEXT($G94)),"",_xll.PITimeDat(Data_mbcb!AH$82,Data_mbcb!$G94,"pi_server","interpolated"))</f>
        <v/>
      </c>
      <c r="AI94" s="157" t="str">
        <f>IF(OR($G94="",$G94=" ",ISTEXT($G94)),"",_xll.PITimeDat(Data_mbcb!AI$82,Data_mbcb!$G94,"pi_server","interpolated"))</f>
        <v/>
      </c>
      <c r="AJ94" s="157" t="str">
        <f>IF(OR($G94="",$G94=" ",ISTEXT($G94)),"",_xll.PITimeDat(Data_mbcb!AJ$82,Data_mbcb!$G94,"pi_server","interpolated"))</f>
        <v/>
      </c>
      <c r="AK94" s="157" t="str">
        <f>IF(OR($G94="",$G94=" ",ISTEXT($G94)),"",_xll.PITimeDat(Data_mbcb!AK$31,Data_mbcb!$G94,"pi_server","interpolated"))</f>
        <v/>
      </c>
      <c r="AL94" s="157" t="str">
        <f>IF(OR($G94="",$G94=" ",ISTEXT($G94)),"",_xll.PITimeDat(Data_mbcb!AL$82,Data_mbcb!$G94,"pi_server","interpolated"))</f>
        <v/>
      </c>
      <c r="AM94" s="66" t="str">
        <f>IF(ISTEXT(_xll.PIArcVal(Data!AK$32,Data!$G94,0,"PI_SERVER","interpolated")),"",_xll.PIArcVal(Data!AK$32,Data!$G94,0,"PI_SERVER","interpolated"))</f>
        <v/>
      </c>
      <c r="AN94" s="157" t="str">
        <f>IF(OR($G94="",$G94=" ",ISTEXT($G94)),"",_xll.PITimeDat(Data_mbcb!AN$82,Data_mbcb!$G94,"pi_server","interpolated"))</f>
        <v/>
      </c>
      <c r="AO94" s="157" t="str">
        <f>IF(OR($G94="",$G94=" ",ISTEXT($G94)),"",_xll.PITimeDat(Data_mbcb!AO$82,Data_mbcb!$G94,"pi_server","interpolated"))</f>
        <v/>
      </c>
      <c r="AP94" s="157" t="str">
        <f>IF(OR($G94="",$G94=" ",ISTEXT($G94)),"",_xll.PITimeDat(Data_mbcb!AP$82,Data_mbcb!$G94,"pi_server","interpolated"))</f>
        <v/>
      </c>
      <c r="AQ94" s="157" t="str">
        <f>IF(OR($G94="",$G94=" ",ISTEXT($G94)),"",_xll.PITimeDat(Data_mbcb!AQ$82,Data_mbcb!$G94,"pi_server","interpolated"))</f>
        <v/>
      </c>
      <c r="AR94" s="157" t="str">
        <f>IF(OR($G94="",$G94=" ",ISTEXT($G94)),"",_xll.PITimeDat(Data_mbcb!AR$82,Data_mbcb!$G94,"pi_server","interpolated"))</f>
        <v/>
      </c>
    </row>
    <row r="95" spans="6:44" ht="20.25" x14ac:dyDescent="0.25">
      <c r="F95" s="3">
        <v>10</v>
      </c>
      <c r="G95" s="64"/>
      <c r="H95" s="65"/>
      <c r="I95" s="157" t="str">
        <f>IF(OR($G95="",$G95=" ",ISTEXT($G95)),"",_xll.PITimeDat(Data_mbcb!I$82,Data_mbcb!$G95,"pi_server","interpolated"))</f>
        <v/>
      </c>
      <c r="J95" s="157" t="str">
        <f>IF(OR($G95="",$G95=" ",ISTEXT($G95)),"",_xll.PITimeDat(Data_mbcb!J$82,Data_mbcb!$G95,"pi_server","interpolated"))</f>
        <v/>
      </c>
      <c r="K95" s="157" t="str">
        <f>IF(OR($G95="",$G95=" ",ISTEXT($G95)),"",_xll.PITimeDat(Data_mbcb!K$82,Data_mbcb!$G95,"pi_server","interpolated"))</f>
        <v/>
      </c>
      <c r="L95" s="157" t="str">
        <f t="shared" si="118"/>
        <v/>
      </c>
      <c r="M95" s="157" t="str">
        <f>IF(OR($G95="",$G95=" ",ISTEXT($G95)),"",_xll.PITimeDat(Data_mbcb!M$82,Data_mbcb!$G95,"pi_server","interpolated"))</f>
        <v/>
      </c>
      <c r="N95" s="157" t="str">
        <f>IF(OR($G95="",$G95=" ",ISTEXT($G95)),"",_xll.PITimeDat(Data_mbcb!N$82,Data_mbcb!$G95,"pi_server","interpolated"))</f>
        <v/>
      </c>
      <c r="O95" s="157" t="str">
        <f t="shared" si="119"/>
        <v/>
      </c>
      <c r="P95" s="157" t="str">
        <f>IF(OR($G95="",$G95=" ",ISTEXT($G95)),"",_xll.PITimeDat(Data_mbcb!P$82,Data_mbcb!$G95,"pi_server","interpolated"))</f>
        <v/>
      </c>
      <c r="Q95" s="157" t="str">
        <f>IF(OR($G95="",$G95=" ",ISTEXT($G95)),"",_xll.PITimeDat(Data_mbcb!Q$82,Data_mbcb!$G95,"pi_server","interpolated"))</f>
        <v/>
      </c>
      <c r="R95" s="157" t="str">
        <f>IF(OR($G95="",$G95=" ",ISTEXT($G95)),"",_xll.PITimeDat(Data_mbcb!R$82,Data_mbcb!$G95,"pi_server","interpolated"))</f>
        <v/>
      </c>
      <c r="S95" s="157" t="str">
        <f>IF(OR($G95="",$G95=" ",ISTEXT($G95)),"",_xll.PITimeDat(Data_mbcb!S$82,Data_mbcb!$G95,"pi_server","interpolated"))</f>
        <v/>
      </c>
      <c r="T95" s="157" t="str">
        <f>IF(OR($G95="",$G95=" ",ISTEXT($G95)),"",_xll.PITimeDat(Data_mbcb!T$82,Data_mbcb!$G95,"pi_server","interpolated"))</f>
        <v/>
      </c>
      <c r="U95" s="123" t="str">
        <f>IF(ISTEXT(_xll.PIArcVal(Data!T$32,Data!$G95,0,"PI_SERVER","interpolated")),"",_xll.PIArcVal(Data!T$32,Data!$G95,0,"PI_SERVER","interpolated"))</f>
        <v/>
      </c>
      <c r="V95" s="157" t="str">
        <f>IF(OR($G95="",$G95=" ",ISTEXT($G95)),"",_xll.PITimeDat(Data_mbcb!V$82,Data_mbcb!$G95,"pi_server","interpolated"))</f>
        <v/>
      </c>
      <c r="W95" s="157" t="str">
        <f>IF(OR($G95="",$G95=" ",ISTEXT($G95)),"",_xll.PITimeDat(Data_mbcb!W$82,Data_mbcb!$G95,"pi_server","interpolated"))</f>
        <v/>
      </c>
      <c r="X95" s="157" t="str">
        <f>IF(OR($G95="",$G95=" ",ISTEXT($G95)),"",_xll.PITimeDat(Data_mbcb!X$82,Data_mbcb!$G95,"pi_server","interpolated"))</f>
        <v/>
      </c>
      <c r="Y95" s="157" t="str">
        <f>IF(OR($G95="",$G95=" ",ISTEXT($G95)),"",_xll.PITimeDat(Data_mbcb!Y$82,Data_mbcb!$G95,"pi_server","interpolated"))</f>
        <v/>
      </c>
      <c r="Z95" s="157" t="str">
        <f>IF(OR($G95="",$G95=" ",ISTEXT($G95)),"",_xll.PITimeDat(Data_mbcb!Z$82,Data_mbcb!$G95,"pi_server","interpolated"))</f>
        <v/>
      </c>
      <c r="AA95" s="157" t="str">
        <f>IF(OR($G95="",$G95=" ",ISTEXT($G95)),"",_xll.PITimeDat(Data_mbcb!AA$82,Data_mbcb!$G95,"pi_server","interpolated"))</f>
        <v/>
      </c>
      <c r="AB95" s="157" t="str">
        <f>IF(OR($G95="",$G95=" ",ISTEXT($G95)),"",_xll.PITimeDat(Data_mbcb!AB$82,Data_mbcb!$G95,"pi_server","interpolated"))</f>
        <v/>
      </c>
      <c r="AC95" s="157" t="str">
        <f>IF(OR($G95="",$G95=" ",ISTEXT($G95)),"",_xll.PITimeDat(Data_mbcb!AC$82,Data_mbcb!$G95,"pi_server","interpolated"))</f>
        <v/>
      </c>
      <c r="AD95" s="157" t="str">
        <f>IF(OR($G95="",$G95=" ",ISTEXT($G95)),"",_xll.PITimeDat(Data_mbcb!AD$82,Data_mbcb!$G95,"pi_server","interpolated"))</f>
        <v/>
      </c>
      <c r="AE95" s="157" t="str">
        <f>IF(OR($G95="",$G95=" ",ISTEXT($G95)),"",_xll.PITimeDat(Data_mbcb!AE$82,Data_mbcb!$G95,"pi_server","interpolated"))</f>
        <v/>
      </c>
      <c r="AF95" s="157" t="str">
        <f>IF(OR($G95="",$G95=" ",ISTEXT($G95)),"",_xll.PITimeDat(Data_mbcb!AF$82,Data_mbcb!$G95,"pi_server","interpolated"))</f>
        <v/>
      </c>
      <c r="AG95" s="157" t="str">
        <f>IF(OR($G95="",$G95=" ",ISTEXT($G95)),"",_xll.PITimeDat(Data_mbcb!AG$82,Data_mbcb!$G95,"pi_server","interpolated"))</f>
        <v/>
      </c>
      <c r="AH95" s="157" t="str">
        <f>IF(OR($G95="",$G95=" ",ISTEXT($G95)),"",_xll.PITimeDat(Data_mbcb!AH$82,Data_mbcb!$G95,"pi_server","interpolated"))</f>
        <v/>
      </c>
      <c r="AI95" s="157" t="str">
        <f>IF(OR($G95="",$G95=" ",ISTEXT($G95)),"",_xll.PITimeDat(Data_mbcb!AI$82,Data_mbcb!$G95,"pi_server","interpolated"))</f>
        <v/>
      </c>
      <c r="AJ95" s="157" t="str">
        <f>IF(OR($G95="",$G95=" ",ISTEXT($G95)),"",_xll.PITimeDat(Data_mbcb!AJ$82,Data_mbcb!$G95,"pi_server","interpolated"))</f>
        <v/>
      </c>
      <c r="AK95" s="157" t="str">
        <f>IF(OR($G95="",$G95=" ",ISTEXT($G95)),"",_xll.PITimeDat(Data_mbcb!AK$31,Data_mbcb!$G95,"pi_server","interpolated"))</f>
        <v/>
      </c>
      <c r="AL95" s="157" t="str">
        <f>IF(OR($G95="",$G95=" ",ISTEXT($G95)),"",_xll.PITimeDat(Data_mbcb!AL$82,Data_mbcb!$G95,"pi_server","interpolated"))</f>
        <v/>
      </c>
      <c r="AM95" s="66" t="str">
        <f>IF(ISTEXT(_xll.PIArcVal(Data!AK$32,Data!$G95,0,"PI_SERVER","interpolated")),"",_xll.PIArcVal(Data!AK$32,Data!$G95,0,"PI_SERVER","interpolated"))</f>
        <v/>
      </c>
      <c r="AN95" s="157" t="str">
        <f>IF(OR($G95="",$G95=" ",ISTEXT($G95)),"",_xll.PITimeDat(Data_mbcb!AN$82,Data_mbcb!$G95,"pi_server","interpolated"))</f>
        <v/>
      </c>
      <c r="AO95" s="157" t="str">
        <f>IF(OR($G95="",$G95=" ",ISTEXT($G95)),"",_xll.PITimeDat(Data_mbcb!AO$82,Data_mbcb!$G95,"pi_server","interpolated"))</f>
        <v/>
      </c>
      <c r="AP95" s="157" t="str">
        <f>IF(OR($G95="",$G95=" ",ISTEXT($G95)),"",_xll.PITimeDat(Data_mbcb!AP$82,Data_mbcb!$G95,"pi_server","interpolated"))</f>
        <v/>
      </c>
      <c r="AQ95" s="157" t="str">
        <f>IF(OR($G95="",$G95=" ",ISTEXT($G95)),"",_xll.PITimeDat(Data_mbcb!AQ$82,Data_mbcb!$G95,"pi_server","interpolated"))</f>
        <v/>
      </c>
      <c r="AR95" s="157" t="str">
        <f>IF(OR($G95="",$G95=" ",ISTEXT($G95)),"",_xll.PITimeDat(Data_mbcb!AR$82,Data_mbcb!$G95,"pi_server","interpolated"))</f>
        <v/>
      </c>
    </row>
  </sheetData>
  <mergeCells count="109">
    <mergeCell ref="M9:O9"/>
    <mergeCell ref="AN9:AN11"/>
    <mergeCell ref="J10:J11"/>
    <mergeCell ref="K10:K11"/>
    <mergeCell ref="L10:L11"/>
    <mergeCell ref="M10:M11"/>
    <mergeCell ref="N10:N11"/>
    <mergeCell ref="O10:O11"/>
    <mergeCell ref="P22:S22"/>
    <mergeCell ref="T22:U23"/>
    <mergeCell ref="P23:Q23"/>
    <mergeCell ref="R23:S23"/>
    <mergeCell ref="M22:M23"/>
    <mergeCell ref="P10:U10"/>
    <mergeCell ref="V10:AM10"/>
    <mergeCell ref="P9:AM9"/>
    <mergeCell ref="N22:N23"/>
    <mergeCell ref="O22:O23"/>
    <mergeCell ref="X22:Y23"/>
    <mergeCell ref="V22:W23"/>
    <mergeCell ref="H22:H23"/>
    <mergeCell ref="J22:J23"/>
    <mergeCell ref="K22:K23"/>
    <mergeCell ref="L22:L23"/>
    <mergeCell ref="I10:I11"/>
    <mergeCell ref="I9:L9"/>
    <mergeCell ref="I22:I23"/>
    <mergeCell ref="F24:G25"/>
    <mergeCell ref="H24:H25"/>
    <mergeCell ref="J24:J25"/>
    <mergeCell ref="K24:K25"/>
    <mergeCell ref="L24:L25"/>
    <mergeCell ref="I24:I25"/>
    <mergeCell ref="F21:I21"/>
    <mergeCell ref="F9:F11"/>
    <mergeCell ref="G9:G11"/>
    <mergeCell ref="H9:H11"/>
    <mergeCell ref="F22:G23"/>
    <mergeCell ref="G32:G34"/>
    <mergeCell ref="H32:H34"/>
    <mergeCell ref="J32:J34"/>
    <mergeCell ref="K32:K34"/>
    <mergeCell ref="L32:L34"/>
    <mergeCell ref="I32:I34"/>
    <mergeCell ref="N24:N25"/>
    <mergeCell ref="O24:O25"/>
    <mergeCell ref="P24:Q25"/>
    <mergeCell ref="M32:M34"/>
    <mergeCell ref="N32:N34"/>
    <mergeCell ref="M24:M25"/>
    <mergeCell ref="O32:O34"/>
    <mergeCell ref="P32:AH32"/>
    <mergeCell ref="P33:S33"/>
    <mergeCell ref="U33:AH33"/>
    <mergeCell ref="R24:S25"/>
    <mergeCell ref="T24:U25"/>
    <mergeCell ref="X24:Y25"/>
    <mergeCell ref="V24:W25"/>
    <mergeCell ref="N66:N68"/>
    <mergeCell ref="N83:N85"/>
    <mergeCell ref="N49:N51"/>
    <mergeCell ref="O49:O51"/>
    <mergeCell ref="P49:AH49"/>
    <mergeCell ref="P50:S50"/>
    <mergeCell ref="U50:AH50"/>
    <mergeCell ref="O66:O68"/>
    <mergeCell ref="P66:AH66"/>
    <mergeCell ref="P67:S67"/>
    <mergeCell ref="U67:AH67"/>
    <mergeCell ref="G49:G51"/>
    <mergeCell ref="H49:H51"/>
    <mergeCell ref="J49:J51"/>
    <mergeCell ref="K49:K51"/>
    <mergeCell ref="L49:L51"/>
    <mergeCell ref="I49:I51"/>
    <mergeCell ref="M49:M51"/>
    <mergeCell ref="G65:G67"/>
    <mergeCell ref="H66:H68"/>
    <mergeCell ref="J66:J68"/>
    <mergeCell ref="K66:K68"/>
    <mergeCell ref="L66:L68"/>
    <mergeCell ref="I66:I68"/>
    <mergeCell ref="M66:M68"/>
    <mergeCell ref="G82:G84"/>
    <mergeCell ref="H83:H85"/>
    <mergeCell ref="J83:J85"/>
    <mergeCell ref="K83:K85"/>
    <mergeCell ref="L83:L85"/>
    <mergeCell ref="I83:I85"/>
    <mergeCell ref="O83:O85"/>
    <mergeCell ref="P83:AH83"/>
    <mergeCell ref="P84:S84"/>
    <mergeCell ref="U84:AH84"/>
    <mergeCell ref="M83:M85"/>
    <mergeCell ref="AP9:AP11"/>
    <mergeCell ref="AO9:AO11"/>
    <mergeCell ref="BK12:BK14"/>
    <mergeCell ref="BL12:BL14"/>
    <mergeCell ref="BM13:BQ13"/>
    <mergeCell ref="BM12:CG12"/>
    <mergeCell ref="BR13:CG13"/>
    <mergeCell ref="BD12:BD14"/>
    <mergeCell ref="BE12:BE14"/>
    <mergeCell ref="BG12:BG14"/>
    <mergeCell ref="BH12:BH14"/>
    <mergeCell ref="BI12:BI14"/>
    <mergeCell ref="BF12:BF14"/>
    <mergeCell ref="BJ12:BJ14"/>
    <mergeCell ref="AQ9:AQ11"/>
  </mergeCells>
  <conditionalFormatting sqref="AM12:AP21">
    <cfRule type="expression" dxfId="17" priority="25">
      <formula>$AR12=1</formula>
    </cfRule>
  </conditionalFormatting>
  <conditionalFormatting sqref="AM45">
    <cfRule type="expression" dxfId="16" priority="18">
      <formula>$AN45=1</formula>
    </cfRule>
  </conditionalFormatting>
  <conditionalFormatting sqref="F12:F20">
    <cfRule type="expression" dxfId="15" priority="17">
      <formula>$AN12=1</formula>
    </cfRule>
  </conditionalFormatting>
  <conditionalFormatting sqref="AJ12:AJ21">
    <cfRule type="expression" dxfId="14" priority="33">
      <formula>$AR11=1</formula>
    </cfRule>
  </conditionalFormatting>
  <conditionalFormatting sqref="U12:U21">
    <cfRule type="expression" dxfId="13" priority="16">
      <formula>$AN12=1</formula>
    </cfRule>
  </conditionalFormatting>
  <conditionalFormatting sqref="U12:U21">
    <cfRule type="expression" dxfId="12" priority="15">
      <formula>$AN12=1</formula>
    </cfRule>
  </conditionalFormatting>
  <conditionalFormatting sqref="AQ12:AQ21">
    <cfRule type="expression" dxfId="11" priority="12">
      <formula>$AR12=1</formula>
    </cfRule>
  </conditionalFormatting>
  <conditionalFormatting sqref="AQ12:AQ21">
    <cfRule type="expression" dxfId="10" priority="11">
      <formula>$AR12=1</formula>
    </cfRule>
  </conditionalFormatting>
  <conditionalFormatting sqref="AM22:AQ23">
    <cfRule type="expression" dxfId="9" priority="13">
      <formula>$AQ22=1</formula>
    </cfRule>
  </conditionalFormatting>
  <conditionalFormatting sqref="AM22:AQ23">
    <cfRule type="expression" dxfId="8" priority="14">
      <formula>$AQ22=1</formula>
    </cfRule>
  </conditionalFormatting>
  <conditionalFormatting sqref="AQ17">
    <cfRule type="expression" dxfId="7" priority="8">
      <formula>$AR17=1</formula>
    </cfRule>
  </conditionalFormatting>
  <conditionalFormatting sqref="AQ17">
    <cfRule type="expression" dxfId="6" priority="7">
      <formula>$AR17=1</formula>
    </cfRule>
  </conditionalFormatting>
  <conditionalFormatting sqref="AM12:AM21">
    <cfRule type="expression" dxfId="5" priority="6">
      <formula>$AN12=1</formula>
    </cfRule>
  </conditionalFormatting>
  <conditionalFormatting sqref="AM12:AM21">
    <cfRule type="expression" dxfId="4" priority="5">
      <formula>$AN12=1</formula>
    </cfRule>
  </conditionalFormatting>
  <conditionalFormatting sqref="AM21">
    <cfRule type="expression" dxfId="3" priority="4">
      <formula>$AN21=1</formula>
    </cfRule>
  </conditionalFormatting>
  <conditionalFormatting sqref="AM21">
    <cfRule type="expression" dxfId="2" priority="3">
      <formula>$AN21=1</formula>
    </cfRule>
  </conditionalFormatting>
  <conditionalFormatting sqref="AM12:AM20">
    <cfRule type="expression" dxfId="1" priority="2">
      <formula>$AN12=1</formula>
    </cfRule>
  </conditionalFormatting>
  <conditionalFormatting sqref="AM12:AM20">
    <cfRule type="expression" dxfId="0" priority="1">
      <formula>$AN12=1</formula>
    </cfRule>
  </conditionalFormatting>
  <pageMargins left="0.16" right="0.12" top="0.75" bottom="0.75" header="0.3" footer="0.3"/>
  <pageSetup paperSize="9" scale="33" orientation="landscape" r:id="rId1"/>
  <ignoredErrors>
    <ignoredError sqref="U12:U13 AM12:AM13 AM21 U15:U20 AM15:AM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VALUES">
                <anchor moveWithCells="1" sizeWithCells="1">
                  <from>
                    <xdr:col>8</xdr:col>
                    <xdr:colOff>38100</xdr:colOff>
                    <xdr:row>3</xdr:row>
                    <xdr:rowOff>47625</xdr:rowOff>
                  </from>
                  <to>
                    <xdr:col>9</xdr:col>
                    <xdr:colOff>133350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20"/>
  <sheetViews>
    <sheetView workbookViewId="0">
      <selection activeCell="C3" sqref="C3:D20"/>
    </sheetView>
  </sheetViews>
  <sheetFormatPr defaultRowHeight="15" x14ac:dyDescent="0.25"/>
  <cols>
    <col min="2" max="2" width="24.28515625" customWidth="1"/>
  </cols>
  <sheetData>
    <row r="2" spans="2:9" ht="15.75" thickBot="1" x14ac:dyDescent="0.3">
      <c r="D2" t="s">
        <v>236</v>
      </c>
      <c r="F2" t="s">
        <v>204</v>
      </c>
      <c r="G2" t="s">
        <v>237</v>
      </c>
      <c r="H2" t="s">
        <v>238</v>
      </c>
    </row>
    <row r="3" spans="2:9" ht="15.75" thickBot="1" x14ac:dyDescent="0.3">
      <c r="B3" s="92" t="s">
        <v>188</v>
      </c>
      <c r="C3" s="93">
        <f ca="1">Data_mbcb!$P$26</f>
        <v>0</v>
      </c>
      <c r="D3" s="93" t="str">
        <f ca="1">Data_mbcb!$P$27</f>
        <v/>
      </c>
      <c r="F3" s="99">
        <v>5</v>
      </c>
      <c r="G3" s="97" t="str">
        <f ca="1">Data_mbcb!J27</f>
        <v/>
      </c>
      <c r="H3" s="97" t="str">
        <f ca="1">Data_mbcb!K27</f>
        <v/>
      </c>
      <c r="I3" s="97" t="e">
        <f ca="1">+G3-H3</f>
        <v>#VALUE!</v>
      </c>
    </row>
    <row r="4" spans="2:9" ht="15.75" thickBot="1" x14ac:dyDescent="0.3">
      <c r="B4" s="94" t="s">
        <v>189</v>
      </c>
      <c r="C4" s="93">
        <f ca="1">Data_mbcb!$V$26</f>
        <v>0</v>
      </c>
      <c r="D4" s="93" t="str">
        <f ca="1">Data_mbcb!$V$27</f>
        <v/>
      </c>
      <c r="F4" s="99">
        <v>20</v>
      </c>
      <c r="G4" s="97">
        <f ca="1">Data_mbcb!J24</f>
        <v>0</v>
      </c>
      <c r="H4" s="98">
        <f ca="1">Data_mbcb!K24</f>
        <v>0</v>
      </c>
      <c r="I4" s="98">
        <f ca="1">+G4-H4</f>
        <v>0</v>
      </c>
    </row>
    <row r="5" spans="2:9" ht="15.75" thickBot="1" x14ac:dyDescent="0.3">
      <c r="B5" s="94" t="s">
        <v>190</v>
      </c>
      <c r="C5" s="93">
        <f ca="1">Data_mbcb!$AC$26</f>
        <v>0</v>
      </c>
      <c r="D5" s="93" t="str">
        <f ca="1">Data_mbcb!$AC$27</f>
        <v/>
      </c>
    </row>
    <row r="6" spans="2:9" ht="15.75" thickBot="1" x14ac:dyDescent="0.3">
      <c r="B6" s="94" t="s">
        <v>191</v>
      </c>
      <c r="C6" s="93">
        <f ca="1">Data_mbcb!$AD$26</f>
        <v>0</v>
      </c>
      <c r="D6" s="93" t="str">
        <f ca="1">Data_mbcb!$AD$27</f>
        <v/>
      </c>
    </row>
    <row r="7" spans="2:9" ht="15.75" thickBot="1" x14ac:dyDescent="0.3">
      <c r="B7" s="94" t="s">
        <v>192</v>
      </c>
      <c r="C7" s="93">
        <f ca="1">Data_mbcb!$Y$26</f>
        <v>0</v>
      </c>
      <c r="D7" s="93" t="str">
        <f ca="1">Data_mbcb!$Y$27</f>
        <v/>
      </c>
    </row>
    <row r="8" spans="2:9" ht="15.75" thickBot="1" x14ac:dyDescent="0.3">
      <c r="B8" s="94" t="s">
        <v>193</v>
      </c>
      <c r="C8" s="93">
        <f ca="1">Data_mbcb!AA26</f>
        <v>0</v>
      </c>
      <c r="D8" s="93" t="str">
        <f ca="1">Data_mbcb!$AA$27</f>
        <v/>
      </c>
    </row>
    <row r="9" spans="2:9" ht="15.75" thickBot="1" x14ac:dyDescent="0.3">
      <c r="B9" s="94" t="s">
        <v>194</v>
      </c>
      <c r="C9" s="93">
        <f ca="1">Data_mbcb!$AB$26</f>
        <v>0</v>
      </c>
      <c r="D9" s="93" t="str">
        <f ca="1">Data_mbcb!$AB$27</f>
        <v/>
      </c>
    </row>
    <row r="10" spans="2:9" ht="15.75" thickBot="1" x14ac:dyDescent="0.3">
      <c r="B10" s="94" t="s">
        <v>195</v>
      </c>
      <c r="C10" s="93">
        <f ca="1">Data_mbcb!$W$26</f>
        <v>0</v>
      </c>
      <c r="D10" s="93" t="str">
        <f ca="1">Data_mbcb!$W$27</f>
        <v/>
      </c>
    </row>
    <row r="11" spans="2:9" ht="15.75" thickBot="1" x14ac:dyDescent="0.3">
      <c r="B11" s="94" t="s">
        <v>196</v>
      </c>
      <c r="C11" s="93">
        <f ca="1">Data_mbcb!$AE$26</f>
        <v>0</v>
      </c>
      <c r="D11" s="93" t="str">
        <f ca="1">Data_mbcb!$AE$27</f>
        <v/>
      </c>
    </row>
    <row r="12" spans="2:9" ht="15.75" thickBot="1" x14ac:dyDescent="0.3">
      <c r="B12" s="94" t="s">
        <v>197</v>
      </c>
      <c r="C12" s="93">
        <f ca="1">Data_mbcb!$Z$26</f>
        <v>0</v>
      </c>
      <c r="D12" s="93" t="str">
        <f ca="1">Data_mbcb!$Z$27</f>
        <v/>
      </c>
    </row>
    <row r="13" spans="2:9" ht="15.75" thickBot="1" x14ac:dyDescent="0.3">
      <c r="B13" s="94" t="s">
        <v>198</v>
      </c>
      <c r="C13" s="95">
        <f ca="1">Data_mbcb!$R$26</f>
        <v>0</v>
      </c>
      <c r="D13" s="95" t="str">
        <f ca="1">Data_mbcb!$R$27</f>
        <v/>
      </c>
    </row>
    <row r="14" spans="2:9" ht="15.75" thickBot="1" x14ac:dyDescent="0.3">
      <c r="B14" s="94" t="s">
        <v>199</v>
      </c>
      <c r="C14" s="93">
        <f ca="1">Data_mbcb!$AH$26</f>
        <v>0</v>
      </c>
      <c r="D14" s="93" t="str">
        <f ca="1">Data_mbcb!$AH$27</f>
        <v/>
      </c>
    </row>
    <row r="15" spans="2:9" ht="15.75" thickBot="1" x14ac:dyDescent="0.3">
      <c r="B15" s="94" t="s">
        <v>200</v>
      </c>
      <c r="C15" s="93">
        <f ca="1">Data_mbcb!$AJ$26</f>
        <v>0</v>
      </c>
      <c r="D15" s="93" t="str">
        <f ca="1">Data_mbcb!$AJ$27</f>
        <v/>
      </c>
    </row>
    <row r="16" spans="2:9" ht="15.75" thickBot="1" x14ac:dyDescent="0.3">
      <c r="B16" s="94" t="s">
        <v>201</v>
      </c>
      <c r="C16" s="93">
        <f>Data_mbcb!$AG$26</f>
        <v>0</v>
      </c>
      <c r="D16" s="93">
        <f>Data_mbcb!$AG$27</f>
        <v>0</v>
      </c>
    </row>
    <row r="17" spans="2:4" ht="15.75" thickBot="1" x14ac:dyDescent="0.3">
      <c r="B17" s="94" t="s">
        <v>202</v>
      </c>
      <c r="C17" s="93">
        <f ca="1">Data_mbcb!$AI$26</f>
        <v>0</v>
      </c>
      <c r="D17" s="93" t="str">
        <f ca="1">Data_mbcb!$AI$27</f>
        <v/>
      </c>
    </row>
    <row r="18" spans="2:4" ht="15.75" thickBot="1" x14ac:dyDescent="0.3">
      <c r="B18" s="94" t="s">
        <v>217</v>
      </c>
      <c r="C18" s="93">
        <f ca="1">Data_mbcb!$AK$26</f>
        <v>0</v>
      </c>
      <c r="D18" s="93" t="str">
        <f ca="1">Data_mbcb!$AK$27</f>
        <v/>
      </c>
    </row>
    <row r="19" spans="2:4" ht="15.75" thickBot="1" x14ac:dyDescent="0.3">
      <c r="B19" s="94" t="s">
        <v>203</v>
      </c>
      <c r="C19" s="96">
        <f ca="1">Data_mbcb!$Q$26+Data_mbcb!$AF$26</f>
        <v>0</v>
      </c>
      <c r="D19" s="96" t="e">
        <f ca="1">Data_mbcb!$Q$27+Data_mbcb!$AF$27</f>
        <v>#VALUE!</v>
      </c>
    </row>
    <row r="20" spans="2:4" ht="15.75" thickBot="1" x14ac:dyDescent="0.3">
      <c r="B20" s="94" t="s">
        <v>13</v>
      </c>
      <c r="C20" s="93">
        <f ca="1">Data_mbcb!$X$26</f>
        <v>0</v>
      </c>
      <c r="D20" s="93" t="str">
        <f ca="1">Data_mbcb!$X$27</f>
        <v/>
      </c>
    </row>
  </sheetData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2"/>
  <sheetViews>
    <sheetView workbookViewId="0">
      <pane ySplit="1" topLeftCell="A72" activePane="bottomLeft" state="frozen"/>
      <selection pane="bottomLeft" activeCell="I84" sqref="I84"/>
    </sheetView>
  </sheetViews>
  <sheetFormatPr defaultRowHeight="15" x14ac:dyDescent="0.25"/>
  <cols>
    <col min="2" max="2" width="8.140625" customWidth="1"/>
    <col min="5" max="5" width="13.85546875" customWidth="1"/>
    <col min="6" max="6" width="13.140625" customWidth="1"/>
  </cols>
  <sheetData>
    <row r="1" spans="1:9" ht="33" customHeight="1" x14ac:dyDescent="0.25">
      <c r="B1" s="104" t="s">
        <v>210</v>
      </c>
      <c r="C1" s="104" t="s">
        <v>211</v>
      </c>
      <c r="D1" s="104" t="s">
        <v>212</v>
      </c>
      <c r="E1" s="106" t="s">
        <v>213</v>
      </c>
      <c r="F1" s="106" t="s">
        <v>214</v>
      </c>
      <c r="G1" s="104" t="s">
        <v>215</v>
      </c>
      <c r="H1" s="104" t="s">
        <v>245</v>
      </c>
      <c r="I1" s="104" t="s">
        <v>265</v>
      </c>
    </row>
    <row r="2" spans="1:9" x14ac:dyDescent="0.25">
      <c r="A2" s="103">
        <v>41699</v>
      </c>
      <c r="B2" s="180">
        <v>0</v>
      </c>
      <c r="C2" s="180">
        <v>0</v>
      </c>
      <c r="D2" s="180">
        <v>0</v>
      </c>
      <c r="E2" s="180">
        <v>0</v>
      </c>
      <c r="F2" s="180">
        <v>0</v>
      </c>
      <c r="G2" s="180">
        <v>0</v>
      </c>
      <c r="H2" s="180">
        <v>0</v>
      </c>
      <c r="I2" s="180">
        <v>0</v>
      </c>
    </row>
    <row r="3" spans="1:9" x14ac:dyDescent="0.25">
      <c r="A3" s="103">
        <v>41700</v>
      </c>
      <c r="B3" s="180">
        <v>0</v>
      </c>
      <c r="C3" s="180">
        <v>0</v>
      </c>
      <c r="D3" s="180">
        <v>0</v>
      </c>
      <c r="E3" s="180">
        <v>0</v>
      </c>
      <c r="F3" s="180">
        <v>0</v>
      </c>
      <c r="G3" s="180">
        <v>0</v>
      </c>
      <c r="H3" s="180">
        <v>0</v>
      </c>
      <c r="I3" s="180">
        <v>0</v>
      </c>
    </row>
    <row r="4" spans="1:9" x14ac:dyDescent="0.25">
      <c r="A4" s="103">
        <v>41701</v>
      </c>
      <c r="B4" s="180">
        <v>0</v>
      </c>
      <c r="C4" s="180">
        <v>0</v>
      </c>
      <c r="D4" s="180">
        <v>0</v>
      </c>
      <c r="E4" s="180">
        <v>0</v>
      </c>
      <c r="F4" s="180">
        <v>0</v>
      </c>
      <c r="G4" s="180">
        <v>0</v>
      </c>
      <c r="H4" s="180">
        <v>0</v>
      </c>
      <c r="I4" s="180">
        <v>0</v>
      </c>
    </row>
    <row r="5" spans="1:9" x14ac:dyDescent="0.25">
      <c r="A5" s="103">
        <v>41702</v>
      </c>
      <c r="B5" s="180">
        <v>0</v>
      </c>
      <c r="C5" s="180">
        <v>0</v>
      </c>
      <c r="D5" s="180">
        <v>0</v>
      </c>
      <c r="E5" s="180">
        <v>0</v>
      </c>
      <c r="F5" s="180">
        <v>0</v>
      </c>
      <c r="G5" s="180">
        <v>0</v>
      </c>
      <c r="H5" s="180">
        <v>0</v>
      </c>
      <c r="I5" s="180">
        <v>0</v>
      </c>
    </row>
    <row r="6" spans="1:9" x14ac:dyDescent="0.25">
      <c r="A6" s="103">
        <v>41703</v>
      </c>
      <c r="B6" s="180">
        <v>0</v>
      </c>
      <c r="C6" s="180">
        <v>0</v>
      </c>
      <c r="D6" s="180">
        <v>0</v>
      </c>
      <c r="E6" s="180">
        <v>0</v>
      </c>
      <c r="F6" s="180">
        <v>0</v>
      </c>
      <c r="G6" s="180">
        <v>0</v>
      </c>
      <c r="H6" s="180">
        <v>0</v>
      </c>
      <c r="I6" s="180">
        <v>0</v>
      </c>
    </row>
    <row r="7" spans="1:9" x14ac:dyDescent="0.25">
      <c r="A7" s="103">
        <v>41704</v>
      </c>
      <c r="B7" s="180">
        <v>0</v>
      </c>
      <c r="C7" s="180">
        <v>0</v>
      </c>
      <c r="D7" s="180">
        <v>0</v>
      </c>
      <c r="E7" s="180">
        <v>0</v>
      </c>
      <c r="F7" s="180">
        <v>0</v>
      </c>
      <c r="G7" s="180">
        <v>0</v>
      </c>
      <c r="H7" s="180">
        <v>0</v>
      </c>
      <c r="I7" s="180">
        <v>0</v>
      </c>
    </row>
    <row r="8" spans="1:9" x14ac:dyDescent="0.25">
      <c r="A8" s="103">
        <v>41705</v>
      </c>
      <c r="B8" s="180">
        <v>0</v>
      </c>
      <c r="C8" s="180">
        <v>0</v>
      </c>
      <c r="D8" s="180">
        <v>0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</row>
    <row r="9" spans="1:9" x14ac:dyDescent="0.25">
      <c r="A9" s="103">
        <v>41706</v>
      </c>
      <c r="B9" s="180">
        <v>0</v>
      </c>
      <c r="C9" s="180">
        <v>0</v>
      </c>
      <c r="D9" s="180">
        <v>0</v>
      </c>
      <c r="E9" s="180">
        <v>0</v>
      </c>
      <c r="F9" s="180">
        <v>0</v>
      </c>
      <c r="G9" s="180">
        <v>0</v>
      </c>
      <c r="H9" s="180">
        <v>0</v>
      </c>
      <c r="I9" s="180">
        <v>0</v>
      </c>
    </row>
    <row r="10" spans="1:9" x14ac:dyDescent="0.25">
      <c r="A10" s="103">
        <v>41707</v>
      </c>
      <c r="B10" s="180">
        <v>0</v>
      </c>
      <c r="C10" s="180">
        <v>0</v>
      </c>
      <c r="D10" s="180">
        <v>0</v>
      </c>
      <c r="E10" s="180">
        <v>0</v>
      </c>
      <c r="F10" s="180">
        <v>0</v>
      </c>
      <c r="G10" s="180">
        <v>0</v>
      </c>
      <c r="H10" s="180">
        <v>0</v>
      </c>
      <c r="I10" s="180">
        <v>0</v>
      </c>
    </row>
    <row r="11" spans="1:9" x14ac:dyDescent="0.25">
      <c r="A11" s="103">
        <v>41708</v>
      </c>
      <c r="B11" s="180">
        <v>0</v>
      </c>
      <c r="C11" s="180">
        <v>0</v>
      </c>
      <c r="D11" s="180">
        <v>0</v>
      </c>
      <c r="E11" s="180">
        <v>0</v>
      </c>
      <c r="F11" s="180">
        <v>0</v>
      </c>
      <c r="G11" s="180">
        <v>0</v>
      </c>
      <c r="H11" s="180">
        <v>0</v>
      </c>
      <c r="I11" s="180">
        <v>0</v>
      </c>
    </row>
    <row r="12" spans="1:9" x14ac:dyDescent="0.25">
      <c r="A12" s="103">
        <v>41709</v>
      </c>
      <c r="B12" s="105">
        <v>3</v>
      </c>
      <c r="C12" s="180">
        <v>695</v>
      </c>
      <c r="D12" s="105">
        <v>635</v>
      </c>
      <c r="E12" s="181">
        <v>25</v>
      </c>
      <c r="F12" s="181">
        <v>130</v>
      </c>
      <c r="G12">
        <v>348</v>
      </c>
      <c r="H12">
        <v>333</v>
      </c>
      <c r="I12">
        <v>66.95</v>
      </c>
    </row>
    <row r="13" spans="1:9" x14ac:dyDescent="0.25">
      <c r="A13" s="103">
        <v>41710</v>
      </c>
      <c r="B13" s="105">
        <v>3</v>
      </c>
      <c r="C13" s="180">
        <v>950</v>
      </c>
      <c r="D13" s="105">
        <v>874</v>
      </c>
      <c r="E13" s="181">
        <v>108</v>
      </c>
      <c r="F13" s="181">
        <v>155</v>
      </c>
      <c r="G13">
        <v>415</v>
      </c>
      <c r="H13">
        <v>426.4</v>
      </c>
      <c r="I13">
        <v>112.11</v>
      </c>
    </row>
    <row r="14" spans="1:9" x14ac:dyDescent="0.25">
      <c r="A14" s="103">
        <v>41711</v>
      </c>
      <c r="B14" s="105">
        <v>3</v>
      </c>
      <c r="C14" s="180">
        <v>664</v>
      </c>
      <c r="D14" s="105">
        <v>617</v>
      </c>
      <c r="E14" s="181">
        <v>29</v>
      </c>
      <c r="F14" s="181">
        <v>152</v>
      </c>
      <c r="G14">
        <v>408</v>
      </c>
      <c r="H14">
        <v>354.6</v>
      </c>
      <c r="I14">
        <v>55.08</v>
      </c>
    </row>
    <row r="15" spans="1:9" x14ac:dyDescent="0.25">
      <c r="A15" s="103">
        <v>41712</v>
      </c>
      <c r="B15" s="105">
        <v>2</v>
      </c>
      <c r="C15" s="180">
        <v>568</v>
      </c>
      <c r="D15" s="105">
        <v>525</v>
      </c>
      <c r="E15" s="181">
        <v>42</v>
      </c>
      <c r="F15" s="181">
        <v>101.5</v>
      </c>
      <c r="G15">
        <v>327</v>
      </c>
      <c r="H15">
        <v>328</v>
      </c>
      <c r="I15">
        <v>53.74</v>
      </c>
    </row>
    <row r="16" spans="1:9" x14ac:dyDescent="0.25">
      <c r="A16" s="103">
        <v>41713</v>
      </c>
      <c r="B16" s="105">
        <v>4</v>
      </c>
      <c r="C16" s="180">
        <v>827</v>
      </c>
      <c r="D16" s="105">
        <v>778</v>
      </c>
      <c r="E16" s="181">
        <v>81</v>
      </c>
      <c r="F16" s="181">
        <v>223</v>
      </c>
      <c r="G16">
        <v>450</v>
      </c>
      <c r="H16">
        <v>434.1</v>
      </c>
      <c r="I16">
        <v>80.959999999999994</v>
      </c>
    </row>
    <row r="17" spans="1:9" x14ac:dyDescent="0.25">
      <c r="A17" s="103">
        <v>41714</v>
      </c>
      <c r="B17" s="105">
        <v>4</v>
      </c>
      <c r="C17" s="180">
        <v>982</v>
      </c>
      <c r="D17" s="105">
        <v>929</v>
      </c>
      <c r="E17" s="181">
        <v>76</v>
      </c>
      <c r="F17" s="181">
        <v>231.5</v>
      </c>
      <c r="G17">
        <v>723</v>
      </c>
      <c r="H17">
        <v>499.2</v>
      </c>
      <c r="I17">
        <v>98.24</v>
      </c>
    </row>
    <row r="18" spans="1:9" x14ac:dyDescent="0.25">
      <c r="A18" s="103">
        <v>41715</v>
      </c>
      <c r="B18" s="105">
        <v>5</v>
      </c>
      <c r="C18" s="180">
        <v>1049</v>
      </c>
      <c r="D18" s="105">
        <v>984</v>
      </c>
      <c r="E18" s="181">
        <v>123</v>
      </c>
      <c r="F18" s="181">
        <v>276</v>
      </c>
      <c r="G18">
        <v>754</v>
      </c>
      <c r="H18">
        <v>569.4</v>
      </c>
      <c r="I18">
        <v>100.46</v>
      </c>
    </row>
    <row r="19" spans="1:9" x14ac:dyDescent="0.25">
      <c r="A19" s="103">
        <v>41716</v>
      </c>
      <c r="B19" s="105">
        <v>4</v>
      </c>
      <c r="C19" s="180">
        <v>960</v>
      </c>
      <c r="D19" s="105">
        <v>900</v>
      </c>
      <c r="E19" s="181">
        <v>94</v>
      </c>
      <c r="F19" s="181">
        <v>227</v>
      </c>
      <c r="G19">
        <v>567</v>
      </c>
      <c r="H19">
        <v>482.9</v>
      </c>
      <c r="I19">
        <v>70.36</v>
      </c>
    </row>
    <row r="20" spans="1:9" x14ac:dyDescent="0.25">
      <c r="A20" s="103">
        <v>41717</v>
      </c>
      <c r="B20" s="105">
        <v>5</v>
      </c>
      <c r="C20" s="180">
        <v>978</v>
      </c>
      <c r="D20" s="105">
        <v>925</v>
      </c>
      <c r="E20" s="181">
        <v>123</v>
      </c>
      <c r="F20" s="181">
        <v>325.2</v>
      </c>
      <c r="G20">
        <v>656</v>
      </c>
      <c r="H20">
        <v>533.4</v>
      </c>
      <c r="I20">
        <v>103.11</v>
      </c>
    </row>
    <row r="21" spans="1:9" x14ac:dyDescent="0.25">
      <c r="A21" s="103">
        <v>41718</v>
      </c>
      <c r="B21" s="105">
        <v>4</v>
      </c>
      <c r="C21" s="180">
        <v>880</v>
      </c>
      <c r="D21" s="105">
        <v>826</v>
      </c>
      <c r="E21" s="181">
        <v>113</v>
      </c>
      <c r="F21" s="181">
        <v>262</v>
      </c>
      <c r="G21">
        <v>798</v>
      </c>
      <c r="H21">
        <v>460.2</v>
      </c>
      <c r="I21">
        <v>82.43</v>
      </c>
    </row>
    <row r="22" spans="1:9" x14ac:dyDescent="0.25">
      <c r="A22" s="103">
        <v>41719</v>
      </c>
      <c r="B22" s="105">
        <v>5</v>
      </c>
      <c r="C22" s="180">
        <v>1083</v>
      </c>
      <c r="D22" s="105">
        <v>1010</v>
      </c>
      <c r="E22" s="181">
        <v>133</v>
      </c>
      <c r="F22" s="181">
        <v>286</v>
      </c>
      <c r="G22">
        <v>779</v>
      </c>
      <c r="H22">
        <v>634.4</v>
      </c>
      <c r="I22">
        <v>110</v>
      </c>
    </row>
    <row r="23" spans="1:9" x14ac:dyDescent="0.25">
      <c r="A23" s="103">
        <v>41720</v>
      </c>
      <c r="B23" s="105">
        <v>4</v>
      </c>
      <c r="C23" s="180">
        <v>886</v>
      </c>
      <c r="D23" s="105">
        <v>832</v>
      </c>
      <c r="E23" s="181">
        <v>97</v>
      </c>
      <c r="F23" s="181">
        <v>272.5</v>
      </c>
      <c r="G23">
        <v>620</v>
      </c>
      <c r="H23">
        <v>457.6</v>
      </c>
      <c r="I23">
        <v>90.24</v>
      </c>
    </row>
    <row r="24" spans="1:9" x14ac:dyDescent="0.25">
      <c r="A24" s="103">
        <v>41721</v>
      </c>
      <c r="B24" s="105">
        <v>5</v>
      </c>
      <c r="C24" s="180">
        <v>1101</v>
      </c>
      <c r="D24" s="105">
        <v>1045</v>
      </c>
      <c r="E24" s="181">
        <v>167</v>
      </c>
      <c r="F24" s="181">
        <v>283.7</v>
      </c>
      <c r="G24">
        <v>627</v>
      </c>
      <c r="H24">
        <v>668</v>
      </c>
      <c r="I24">
        <v>121.7</v>
      </c>
    </row>
    <row r="25" spans="1:9" x14ac:dyDescent="0.25">
      <c r="A25" s="103">
        <v>41722</v>
      </c>
      <c r="B25" s="105">
        <v>3</v>
      </c>
      <c r="C25" s="180">
        <v>652</v>
      </c>
      <c r="D25" s="105">
        <v>609</v>
      </c>
      <c r="E25" s="181">
        <v>88</v>
      </c>
      <c r="F25" s="181">
        <v>185</v>
      </c>
      <c r="G25">
        <v>564</v>
      </c>
      <c r="H25">
        <v>374.5</v>
      </c>
      <c r="I25">
        <v>71.569999999999993</v>
      </c>
    </row>
    <row r="26" spans="1:9" x14ac:dyDescent="0.25">
      <c r="A26" s="103">
        <v>41723</v>
      </c>
      <c r="B26" s="105">
        <v>4</v>
      </c>
      <c r="C26" s="180">
        <v>868</v>
      </c>
      <c r="D26" s="105">
        <v>820</v>
      </c>
      <c r="E26" s="181">
        <v>89</v>
      </c>
      <c r="F26" s="181">
        <v>217.5</v>
      </c>
      <c r="G26">
        <v>506</v>
      </c>
      <c r="H26">
        <v>457.8</v>
      </c>
      <c r="I26">
        <v>79.06</v>
      </c>
    </row>
    <row r="27" spans="1:9" x14ac:dyDescent="0.25">
      <c r="A27" s="103">
        <v>41724</v>
      </c>
      <c r="B27" s="105">
        <v>5</v>
      </c>
      <c r="C27" s="180">
        <v>1086</v>
      </c>
      <c r="D27" s="105">
        <v>1018</v>
      </c>
      <c r="E27" s="181">
        <v>180</v>
      </c>
      <c r="F27" s="181">
        <v>276</v>
      </c>
      <c r="G27">
        <v>573</v>
      </c>
      <c r="H27">
        <v>716.8</v>
      </c>
      <c r="I27">
        <v>126.39</v>
      </c>
    </row>
    <row r="28" spans="1:9" x14ac:dyDescent="0.25">
      <c r="A28" s="103">
        <v>41725</v>
      </c>
      <c r="B28" s="105">
        <v>3</v>
      </c>
      <c r="C28" s="180">
        <v>650</v>
      </c>
      <c r="D28" s="105">
        <v>616</v>
      </c>
      <c r="E28" s="181">
        <v>87</v>
      </c>
      <c r="F28" s="181">
        <v>210</v>
      </c>
      <c r="G28">
        <v>642</v>
      </c>
      <c r="H28">
        <v>325</v>
      </c>
      <c r="I28">
        <v>76.209999999999994</v>
      </c>
    </row>
    <row r="29" spans="1:9" x14ac:dyDescent="0.25">
      <c r="A29" s="103">
        <v>41726</v>
      </c>
      <c r="B29" s="105">
        <v>4</v>
      </c>
      <c r="C29" s="180">
        <v>863</v>
      </c>
      <c r="D29" s="105">
        <v>811</v>
      </c>
      <c r="E29" s="181">
        <v>91</v>
      </c>
      <c r="F29" s="181">
        <v>235.5</v>
      </c>
      <c r="G29">
        <v>548</v>
      </c>
      <c r="H29">
        <v>455</v>
      </c>
      <c r="I29">
        <v>76.36</v>
      </c>
    </row>
    <row r="30" spans="1:9" x14ac:dyDescent="0.25">
      <c r="A30" s="103">
        <v>41727</v>
      </c>
      <c r="B30" s="105">
        <v>5</v>
      </c>
      <c r="C30" s="180">
        <v>1039</v>
      </c>
      <c r="D30" s="105">
        <v>991</v>
      </c>
      <c r="E30" s="181">
        <v>110.3</v>
      </c>
      <c r="F30" s="181">
        <v>294.5</v>
      </c>
      <c r="G30">
        <v>702</v>
      </c>
      <c r="H30">
        <v>569.6</v>
      </c>
      <c r="I30">
        <v>112.61</v>
      </c>
    </row>
    <row r="31" spans="1:9" x14ac:dyDescent="0.25">
      <c r="A31" s="103">
        <v>41728</v>
      </c>
      <c r="B31" s="105">
        <v>5</v>
      </c>
      <c r="C31" s="180">
        <v>994</v>
      </c>
      <c r="D31" s="105">
        <v>933</v>
      </c>
      <c r="E31" s="181">
        <v>150.30000000000001</v>
      </c>
      <c r="F31" s="181">
        <v>318</v>
      </c>
      <c r="G31">
        <v>562</v>
      </c>
      <c r="H31">
        <v>505.4</v>
      </c>
      <c r="I31">
        <v>98.86</v>
      </c>
    </row>
    <row r="32" spans="1:9" x14ac:dyDescent="0.25">
      <c r="A32" s="103">
        <v>41729</v>
      </c>
      <c r="B32" s="105">
        <v>4</v>
      </c>
      <c r="C32" s="180">
        <v>773</v>
      </c>
      <c r="D32" s="105">
        <v>723</v>
      </c>
      <c r="E32" s="181">
        <v>57.3</v>
      </c>
      <c r="F32" s="181">
        <v>242</v>
      </c>
      <c r="G32">
        <v>672</v>
      </c>
      <c r="H32">
        <v>389.6</v>
      </c>
      <c r="I32">
        <v>69.959999999999994</v>
      </c>
    </row>
    <row r="35" spans="1:9" x14ac:dyDescent="0.25">
      <c r="A35" s="103">
        <v>41730</v>
      </c>
      <c r="B35" s="105">
        <v>4</v>
      </c>
      <c r="C35" s="180">
        <v>858</v>
      </c>
      <c r="D35" s="105">
        <v>805</v>
      </c>
      <c r="E35" s="181">
        <v>121.4</v>
      </c>
      <c r="F35" s="181">
        <v>217</v>
      </c>
      <c r="G35">
        <v>500</v>
      </c>
      <c r="H35">
        <v>563.4</v>
      </c>
      <c r="I35">
        <v>108</v>
      </c>
    </row>
    <row r="36" spans="1:9" x14ac:dyDescent="0.25">
      <c r="A36" s="103">
        <v>41731</v>
      </c>
      <c r="B36" s="105">
        <v>5</v>
      </c>
      <c r="C36" s="180">
        <v>984</v>
      </c>
      <c r="D36" s="105">
        <v>920</v>
      </c>
      <c r="E36" s="181">
        <v>130.6</v>
      </c>
      <c r="F36" s="181">
        <v>293.39999999999998</v>
      </c>
      <c r="G36">
        <v>657</v>
      </c>
      <c r="H36">
        <v>615.20000000000005</v>
      </c>
      <c r="I36">
        <v>107.7</v>
      </c>
    </row>
    <row r="37" spans="1:9" x14ac:dyDescent="0.25">
      <c r="A37" s="103">
        <v>41732</v>
      </c>
      <c r="B37" s="105">
        <v>5</v>
      </c>
      <c r="C37" s="180">
        <v>1011</v>
      </c>
      <c r="D37" s="105">
        <v>948</v>
      </c>
      <c r="E37" s="181">
        <v>117.3</v>
      </c>
      <c r="F37" s="181">
        <v>311</v>
      </c>
      <c r="G37">
        <v>673</v>
      </c>
      <c r="H37">
        <v>575.4</v>
      </c>
      <c r="I37">
        <v>98.91</v>
      </c>
    </row>
    <row r="38" spans="1:9" x14ac:dyDescent="0.25">
      <c r="A38" s="103">
        <v>41733</v>
      </c>
      <c r="B38" s="105">
        <v>5</v>
      </c>
      <c r="C38" s="180">
        <v>987</v>
      </c>
      <c r="D38" s="105">
        <v>927</v>
      </c>
      <c r="E38" s="181">
        <v>85.1</v>
      </c>
      <c r="F38" s="181">
        <v>284.5</v>
      </c>
      <c r="G38">
        <v>648</v>
      </c>
      <c r="H38">
        <v>570</v>
      </c>
      <c r="I38">
        <v>105.71</v>
      </c>
    </row>
    <row r="39" spans="1:9" x14ac:dyDescent="0.25">
      <c r="A39" s="103">
        <v>41734</v>
      </c>
      <c r="B39" s="105">
        <v>4</v>
      </c>
      <c r="C39" s="180">
        <v>825</v>
      </c>
      <c r="D39" s="105">
        <v>778</v>
      </c>
      <c r="E39" s="181">
        <v>63.2</v>
      </c>
      <c r="F39" s="181">
        <v>229.9</v>
      </c>
      <c r="G39">
        <v>524</v>
      </c>
      <c r="H39">
        <v>448.8</v>
      </c>
      <c r="I39">
        <v>99.24</v>
      </c>
    </row>
    <row r="40" spans="1:9" x14ac:dyDescent="0.25">
      <c r="A40" s="103">
        <v>41735</v>
      </c>
      <c r="B40" s="105">
        <v>4</v>
      </c>
      <c r="C40" s="180">
        <v>841</v>
      </c>
      <c r="D40" s="105">
        <v>788</v>
      </c>
      <c r="E40" s="181">
        <v>99.7</v>
      </c>
      <c r="F40" s="181">
        <v>231.5</v>
      </c>
      <c r="G40">
        <v>550</v>
      </c>
      <c r="H40">
        <v>523.4</v>
      </c>
      <c r="I40">
        <v>113.92</v>
      </c>
    </row>
    <row r="41" spans="1:9" x14ac:dyDescent="0.25">
      <c r="A41" s="103">
        <v>41736</v>
      </c>
      <c r="B41" s="105">
        <v>5</v>
      </c>
      <c r="C41" s="180">
        <v>1037</v>
      </c>
      <c r="D41" s="105">
        <v>940</v>
      </c>
      <c r="E41" s="181">
        <v>119.9</v>
      </c>
      <c r="F41" s="181">
        <v>292.5</v>
      </c>
      <c r="G41">
        <v>730</v>
      </c>
      <c r="H41">
        <v>617.4</v>
      </c>
      <c r="I41">
        <v>127.01</v>
      </c>
    </row>
    <row r="42" spans="1:9" x14ac:dyDescent="0.25">
      <c r="A42" s="103">
        <v>41737</v>
      </c>
      <c r="B42" s="105">
        <v>4</v>
      </c>
      <c r="C42" s="180">
        <v>874</v>
      </c>
      <c r="D42" s="105">
        <v>818</v>
      </c>
      <c r="E42" s="181">
        <v>88.6</v>
      </c>
      <c r="F42" s="181">
        <v>237</v>
      </c>
      <c r="G42">
        <v>505</v>
      </c>
      <c r="H42">
        <v>557.20000000000005</v>
      </c>
      <c r="I42">
        <v>114.6</v>
      </c>
    </row>
    <row r="43" spans="1:9" x14ac:dyDescent="0.25">
      <c r="A43" s="103">
        <v>41738</v>
      </c>
      <c r="B43" s="105">
        <v>5</v>
      </c>
      <c r="C43" s="180">
        <v>1002</v>
      </c>
      <c r="D43" s="105">
        <v>942</v>
      </c>
      <c r="E43" s="181">
        <v>61</v>
      </c>
      <c r="F43" s="181">
        <v>296.5</v>
      </c>
      <c r="G43">
        <v>614</v>
      </c>
      <c r="H43">
        <v>600.6</v>
      </c>
      <c r="I43">
        <v>124.24</v>
      </c>
    </row>
    <row r="44" spans="1:9" x14ac:dyDescent="0.25">
      <c r="A44" s="103">
        <v>41739</v>
      </c>
      <c r="B44" s="105">
        <v>4</v>
      </c>
      <c r="C44" s="180">
        <v>820</v>
      </c>
      <c r="D44" s="105">
        <v>778</v>
      </c>
      <c r="E44" s="181">
        <v>59</v>
      </c>
      <c r="F44" s="181">
        <v>248.5</v>
      </c>
      <c r="G44">
        <v>521</v>
      </c>
      <c r="H44">
        <v>540.20000000000005</v>
      </c>
      <c r="I44">
        <v>107.54</v>
      </c>
    </row>
    <row r="45" spans="1:9" x14ac:dyDescent="0.25">
      <c r="A45" s="103">
        <v>41740</v>
      </c>
      <c r="B45" s="105">
        <v>3</v>
      </c>
      <c r="C45" s="180">
        <v>642</v>
      </c>
      <c r="D45" s="105">
        <v>603</v>
      </c>
      <c r="E45" s="181">
        <v>75</v>
      </c>
      <c r="F45" s="181">
        <v>188.5</v>
      </c>
      <c r="G45">
        <v>391</v>
      </c>
      <c r="H45">
        <v>454.4</v>
      </c>
      <c r="I45">
        <v>92.84</v>
      </c>
    </row>
    <row r="46" spans="1:9" x14ac:dyDescent="0.25">
      <c r="A46" s="103">
        <v>41741</v>
      </c>
      <c r="B46" s="105">
        <v>3</v>
      </c>
      <c r="C46" s="180">
        <v>611</v>
      </c>
      <c r="D46" s="105">
        <v>573</v>
      </c>
      <c r="E46" s="181">
        <v>66.72</v>
      </c>
      <c r="F46" s="181">
        <v>395.2</v>
      </c>
      <c r="G46">
        <v>397</v>
      </c>
      <c r="H46">
        <v>395.2</v>
      </c>
      <c r="I46">
        <v>66.72</v>
      </c>
    </row>
    <row r="47" spans="1:9" x14ac:dyDescent="0.25">
      <c r="A47" s="103">
        <v>41742</v>
      </c>
      <c r="B47" s="105">
        <v>1</v>
      </c>
      <c r="C47" s="180">
        <v>208</v>
      </c>
      <c r="D47" s="105">
        <v>195</v>
      </c>
      <c r="E47" s="181">
        <v>15.4</v>
      </c>
      <c r="F47" s="181">
        <v>66</v>
      </c>
      <c r="G47">
        <v>109</v>
      </c>
      <c r="H47">
        <v>119.6</v>
      </c>
      <c r="I47">
        <v>25.4</v>
      </c>
    </row>
    <row r="48" spans="1:9" x14ac:dyDescent="0.25">
      <c r="A48" s="103">
        <v>41743</v>
      </c>
      <c r="B48" s="105">
        <v>4</v>
      </c>
      <c r="C48" s="180">
        <v>744</v>
      </c>
      <c r="D48" s="105">
        <v>708</v>
      </c>
      <c r="E48" s="181">
        <v>45.8</v>
      </c>
      <c r="F48" s="181">
        <v>219</v>
      </c>
      <c r="G48">
        <v>528</v>
      </c>
      <c r="H48">
        <v>400.2</v>
      </c>
      <c r="I48">
        <v>84.6</v>
      </c>
    </row>
    <row r="49" spans="1:9" x14ac:dyDescent="0.25">
      <c r="A49" s="103">
        <v>41744</v>
      </c>
      <c r="B49" s="105">
        <v>4</v>
      </c>
      <c r="C49" s="180">
        <v>831</v>
      </c>
      <c r="D49" s="105">
        <v>786</v>
      </c>
      <c r="E49" s="181">
        <v>71.2</v>
      </c>
      <c r="F49" s="181">
        <v>214</v>
      </c>
      <c r="G49">
        <v>493</v>
      </c>
      <c r="H49">
        <v>532.4</v>
      </c>
      <c r="I49">
        <v>107.43</v>
      </c>
    </row>
    <row r="50" spans="1:9" x14ac:dyDescent="0.25">
      <c r="A50" s="103">
        <v>41745</v>
      </c>
      <c r="B50" s="105">
        <v>3</v>
      </c>
      <c r="C50" s="180">
        <v>619</v>
      </c>
      <c r="D50" s="105">
        <v>590</v>
      </c>
      <c r="E50" s="181">
        <v>25</v>
      </c>
      <c r="F50" s="181">
        <v>169.5</v>
      </c>
      <c r="G50">
        <v>366</v>
      </c>
      <c r="H50">
        <v>343</v>
      </c>
      <c r="I50">
        <v>69.510000000000005</v>
      </c>
    </row>
    <row r="51" spans="1:9" x14ac:dyDescent="0.25">
      <c r="A51" s="103">
        <v>41746</v>
      </c>
      <c r="B51" s="105">
        <v>4</v>
      </c>
      <c r="C51" s="180">
        <v>841</v>
      </c>
      <c r="D51" s="105">
        <v>799</v>
      </c>
      <c r="E51" s="181">
        <v>35.6</v>
      </c>
      <c r="F51" s="181">
        <v>255</v>
      </c>
      <c r="G51">
        <v>510</v>
      </c>
      <c r="H51">
        <v>514.79999999999995</v>
      </c>
      <c r="I51">
        <v>92.75</v>
      </c>
    </row>
    <row r="52" spans="1:9" x14ac:dyDescent="0.25">
      <c r="A52" s="103">
        <v>41747</v>
      </c>
      <c r="B52" s="105">
        <v>3</v>
      </c>
      <c r="C52">
        <v>643</v>
      </c>
      <c r="D52" s="105">
        <v>607</v>
      </c>
      <c r="E52" s="181">
        <v>34.299999999999997</v>
      </c>
      <c r="F52" s="181">
        <v>187</v>
      </c>
      <c r="G52">
        <v>421</v>
      </c>
      <c r="H52">
        <v>405.6</v>
      </c>
      <c r="I52">
        <v>75.98</v>
      </c>
    </row>
    <row r="53" spans="1:9" x14ac:dyDescent="0.25">
      <c r="A53" s="103">
        <v>41748</v>
      </c>
      <c r="B53" s="105">
        <v>4</v>
      </c>
      <c r="C53">
        <v>848</v>
      </c>
      <c r="D53" s="105">
        <v>806</v>
      </c>
      <c r="E53" s="181">
        <v>92.2</v>
      </c>
      <c r="F53" s="181">
        <v>221.5</v>
      </c>
      <c r="G53">
        <v>564</v>
      </c>
      <c r="H53">
        <v>574.6</v>
      </c>
      <c r="I53">
        <v>102.28</v>
      </c>
    </row>
    <row r="54" spans="1:9" x14ac:dyDescent="0.25">
      <c r="A54" s="103">
        <v>41749</v>
      </c>
      <c r="B54" s="105">
        <v>4</v>
      </c>
      <c r="C54">
        <v>1125</v>
      </c>
      <c r="D54" s="105">
        <v>1064</v>
      </c>
      <c r="E54" s="181">
        <v>101.3</v>
      </c>
      <c r="F54" s="181">
        <v>225.5</v>
      </c>
      <c r="G54">
        <v>556</v>
      </c>
      <c r="H54">
        <v>678.9</v>
      </c>
      <c r="I54">
        <v>114.4</v>
      </c>
    </row>
    <row r="55" spans="1:9" x14ac:dyDescent="0.25">
      <c r="A55" s="103">
        <v>41750</v>
      </c>
      <c r="B55" s="105">
        <v>4</v>
      </c>
      <c r="C55">
        <v>732</v>
      </c>
      <c r="D55" s="105">
        <v>691</v>
      </c>
      <c r="E55" s="181">
        <v>30.6</v>
      </c>
      <c r="F55" s="181">
        <v>215</v>
      </c>
      <c r="G55">
        <v>579</v>
      </c>
      <c r="H55">
        <v>452.4</v>
      </c>
      <c r="I55">
        <v>94.33</v>
      </c>
    </row>
    <row r="56" spans="1:9" x14ac:dyDescent="0.25">
      <c r="A56" s="103">
        <v>41751</v>
      </c>
      <c r="B56" s="105">
        <v>5</v>
      </c>
      <c r="C56">
        <v>978</v>
      </c>
      <c r="D56" s="105">
        <v>923</v>
      </c>
      <c r="E56" s="181">
        <v>116.6</v>
      </c>
      <c r="F56" s="181">
        <v>287</v>
      </c>
      <c r="G56">
        <v>669</v>
      </c>
      <c r="H56">
        <v>597.6</v>
      </c>
      <c r="I56">
        <v>124.22</v>
      </c>
    </row>
    <row r="57" spans="1:9" x14ac:dyDescent="0.25">
      <c r="A57" s="103">
        <v>41752</v>
      </c>
      <c r="B57" s="105">
        <v>5</v>
      </c>
      <c r="C57">
        <v>1025</v>
      </c>
      <c r="D57" s="105">
        <v>974</v>
      </c>
      <c r="E57" s="181">
        <v>135.5</v>
      </c>
      <c r="F57" s="181">
        <v>303</v>
      </c>
      <c r="G57">
        <v>652</v>
      </c>
      <c r="H57">
        <v>657.9</v>
      </c>
      <c r="I57">
        <v>149.30000000000001</v>
      </c>
    </row>
    <row r="58" spans="1:9" x14ac:dyDescent="0.25">
      <c r="A58" s="103">
        <v>41753</v>
      </c>
      <c r="B58" s="105">
        <v>4</v>
      </c>
      <c r="C58">
        <v>836</v>
      </c>
      <c r="D58" s="105">
        <v>788</v>
      </c>
      <c r="E58" s="181">
        <v>117.8</v>
      </c>
      <c r="F58" s="181">
        <v>229</v>
      </c>
      <c r="G58">
        <v>511</v>
      </c>
      <c r="H58">
        <v>546</v>
      </c>
      <c r="I58">
        <v>113.95</v>
      </c>
    </row>
    <row r="59" spans="1:9" x14ac:dyDescent="0.25">
      <c r="A59" s="103">
        <v>41754</v>
      </c>
      <c r="B59" s="105">
        <v>4</v>
      </c>
      <c r="C59">
        <v>887</v>
      </c>
      <c r="D59" s="105">
        <v>836</v>
      </c>
      <c r="E59" s="181">
        <v>70.375</v>
      </c>
      <c r="F59" s="181">
        <v>244.5</v>
      </c>
      <c r="G59">
        <v>526</v>
      </c>
      <c r="H59">
        <v>546.70000839233398</v>
      </c>
      <c r="I59">
        <v>103.83000040054321</v>
      </c>
    </row>
    <row r="60" spans="1:9" x14ac:dyDescent="0.25">
      <c r="A60" s="103">
        <v>41755</v>
      </c>
      <c r="B60" s="105">
        <v>4</v>
      </c>
      <c r="C60">
        <v>794</v>
      </c>
      <c r="D60" s="105">
        <v>753</v>
      </c>
      <c r="E60" s="181">
        <v>72.599999999999994</v>
      </c>
      <c r="F60" s="181">
        <v>213</v>
      </c>
      <c r="G60">
        <v>436</v>
      </c>
      <c r="H60">
        <v>556.4</v>
      </c>
      <c r="I60">
        <v>84.44</v>
      </c>
    </row>
    <row r="61" spans="1:9" x14ac:dyDescent="0.25">
      <c r="A61" s="103">
        <v>41756</v>
      </c>
      <c r="B61" s="105">
        <v>4</v>
      </c>
      <c r="C61">
        <v>772</v>
      </c>
      <c r="D61" s="105">
        <v>729</v>
      </c>
      <c r="E61" s="181">
        <v>102</v>
      </c>
      <c r="F61" s="181">
        <v>251</v>
      </c>
      <c r="G61">
        <v>567</v>
      </c>
      <c r="H61">
        <v>550.6</v>
      </c>
      <c r="I61">
        <v>99.99</v>
      </c>
    </row>
    <row r="62" spans="1:9" x14ac:dyDescent="0.25">
      <c r="A62" s="103">
        <v>41757</v>
      </c>
      <c r="B62" s="105">
        <v>5</v>
      </c>
      <c r="C62">
        <v>1004</v>
      </c>
      <c r="D62" s="105">
        <v>945</v>
      </c>
      <c r="E62" s="181">
        <v>124.3</v>
      </c>
      <c r="F62" s="181">
        <v>276</v>
      </c>
      <c r="G62">
        <v>670</v>
      </c>
      <c r="H62">
        <v>644.79999999999995</v>
      </c>
      <c r="I62">
        <v>114.88</v>
      </c>
    </row>
    <row r="63" spans="1:9" x14ac:dyDescent="0.25">
      <c r="A63" s="103">
        <v>41758</v>
      </c>
      <c r="B63" s="105">
        <v>4</v>
      </c>
      <c r="C63">
        <v>852</v>
      </c>
      <c r="D63" s="105">
        <v>802</v>
      </c>
      <c r="E63" s="181">
        <v>145.9</v>
      </c>
      <c r="F63" s="181">
        <v>191</v>
      </c>
      <c r="G63">
        <v>527</v>
      </c>
      <c r="H63">
        <v>544.1</v>
      </c>
      <c r="I63">
        <v>101.26</v>
      </c>
    </row>
    <row r="64" spans="1:9" x14ac:dyDescent="0.25">
      <c r="A64" s="103">
        <v>41759</v>
      </c>
      <c r="B64" s="105">
        <v>5</v>
      </c>
      <c r="C64">
        <v>974</v>
      </c>
      <c r="D64" s="105">
        <v>910</v>
      </c>
      <c r="E64" s="181">
        <v>113.7</v>
      </c>
      <c r="F64" s="181">
        <v>285</v>
      </c>
      <c r="G64">
        <v>676</v>
      </c>
      <c r="H64">
        <v>569</v>
      </c>
      <c r="I64">
        <v>114.32</v>
      </c>
    </row>
    <row r="65" spans="1:9" x14ac:dyDescent="0.25">
      <c r="B65" s="105"/>
    </row>
    <row r="66" spans="1:9" x14ac:dyDescent="0.25">
      <c r="A66" s="103">
        <v>41760</v>
      </c>
      <c r="B66" s="105">
        <v>5</v>
      </c>
      <c r="C66">
        <v>999</v>
      </c>
      <c r="D66" s="105">
        <v>934</v>
      </c>
      <c r="E66" s="181">
        <v>153</v>
      </c>
      <c r="F66" s="181">
        <v>286</v>
      </c>
      <c r="G66">
        <v>678</v>
      </c>
      <c r="H66">
        <v>595.4</v>
      </c>
      <c r="I66">
        <v>123.98</v>
      </c>
    </row>
    <row r="67" spans="1:9" x14ac:dyDescent="0.25">
      <c r="A67" s="103">
        <v>41761</v>
      </c>
      <c r="B67" s="105">
        <v>5</v>
      </c>
      <c r="C67">
        <v>1063</v>
      </c>
      <c r="D67" s="105">
        <v>1016</v>
      </c>
      <c r="E67" s="181">
        <v>104</v>
      </c>
      <c r="F67" s="181">
        <v>303</v>
      </c>
      <c r="G67">
        <v>705</v>
      </c>
      <c r="H67">
        <v>629.20000000000005</v>
      </c>
      <c r="I67">
        <v>125.75</v>
      </c>
    </row>
    <row r="68" spans="1:9" x14ac:dyDescent="0.25">
      <c r="A68" s="103">
        <v>41762</v>
      </c>
      <c r="B68" s="105">
        <v>5</v>
      </c>
      <c r="C68">
        <v>1023</v>
      </c>
      <c r="D68" s="105">
        <v>967</v>
      </c>
      <c r="E68" s="181">
        <v>152</v>
      </c>
      <c r="F68" s="181">
        <v>259</v>
      </c>
      <c r="G68">
        <v>659</v>
      </c>
      <c r="H68">
        <v>616.20000000000005</v>
      </c>
      <c r="I68">
        <v>129.38999999999999</v>
      </c>
    </row>
    <row r="69" spans="1:9" x14ac:dyDescent="0.25">
      <c r="A69" s="103">
        <v>41763</v>
      </c>
      <c r="B69" s="105">
        <v>4</v>
      </c>
      <c r="C69">
        <v>806</v>
      </c>
      <c r="D69" s="105">
        <v>749</v>
      </c>
      <c r="E69" s="181">
        <v>111</v>
      </c>
      <c r="F69" s="181">
        <v>245</v>
      </c>
      <c r="G69">
        <v>487</v>
      </c>
      <c r="H69">
        <v>506.4</v>
      </c>
      <c r="I69">
        <v>108.12</v>
      </c>
    </row>
    <row r="70" spans="1:9" x14ac:dyDescent="0.25">
      <c r="A70" s="103">
        <v>41764</v>
      </c>
      <c r="B70" s="105">
        <v>1</v>
      </c>
      <c r="C70">
        <v>209</v>
      </c>
      <c r="D70" s="105">
        <v>198</v>
      </c>
      <c r="E70" s="181">
        <v>29</v>
      </c>
      <c r="F70" s="181">
        <v>54</v>
      </c>
      <c r="G70">
        <v>140</v>
      </c>
      <c r="H70">
        <v>153.4</v>
      </c>
      <c r="I70">
        <v>17.399999999999999</v>
      </c>
    </row>
    <row r="71" spans="1:9" x14ac:dyDescent="0.25">
      <c r="A71" s="103">
        <v>41765</v>
      </c>
      <c r="B71" s="105">
        <v>0</v>
      </c>
      <c r="C71">
        <v>84</v>
      </c>
      <c r="D71" s="105">
        <v>80</v>
      </c>
      <c r="E71" s="181">
        <v>0</v>
      </c>
      <c r="F71" s="181">
        <v>0</v>
      </c>
      <c r="G71">
        <v>0</v>
      </c>
      <c r="H71">
        <v>26</v>
      </c>
      <c r="I71">
        <v>11.4</v>
      </c>
    </row>
    <row r="72" spans="1:9" x14ac:dyDescent="0.25">
      <c r="A72" s="103">
        <v>41766</v>
      </c>
    </row>
    <row r="73" spans="1:9" x14ac:dyDescent="0.25">
      <c r="A73" s="103">
        <v>41767</v>
      </c>
    </row>
    <row r="74" spans="1:9" x14ac:dyDescent="0.25">
      <c r="A74" s="103">
        <v>41768</v>
      </c>
      <c r="B74" s="105">
        <v>3</v>
      </c>
      <c r="C74">
        <v>613</v>
      </c>
      <c r="D74" s="105">
        <v>578</v>
      </c>
      <c r="E74" s="181">
        <v>23</v>
      </c>
      <c r="F74" s="181">
        <v>146.4</v>
      </c>
      <c r="G74">
        <v>360</v>
      </c>
      <c r="H74">
        <v>364</v>
      </c>
      <c r="I74">
        <v>77.209999999999994</v>
      </c>
    </row>
    <row r="75" spans="1:9" x14ac:dyDescent="0.25">
      <c r="A75" s="103">
        <v>41769</v>
      </c>
      <c r="B75" s="105">
        <v>5</v>
      </c>
      <c r="C75">
        <v>920</v>
      </c>
      <c r="D75" s="105">
        <v>863</v>
      </c>
      <c r="E75" s="181">
        <v>106</v>
      </c>
      <c r="F75" s="181">
        <v>296</v>
      </c>
      <c r="G75">
        <v>648</v>
      </c>
      <c r="H75">
        <v>657.8</v>
      </c>
      <c r="I75">
        <v>123.43</v>
      </c>
    </row>
    <row r="76" spans="1:9" x14ac:dyDescent="0.25">
      <c r="A76" s="103">
        <v>41770</v>
      </c>
      <c r="B76" s="105">
        <v>5</v>
      </c>
      <c r="C76">
        <v>1045</v>
      </c>
      <c r="D76" s="105">
        <v>980</v>
      </c>
      <c r="E76" s="181">
        <v>109</v>
      </c>
      <c r="F76" s="181">
        <v>298.8</v>
      </c>
      <c r="G76">
        <v>620</v>
      </c>
      <c r="H76">
        <v>706.8</v>
      </c>
      <c r="I76">
        <v>133.44999999999999</v>
      </c>
    </row>
    <row r="77" spans="1:9" x14ac:dyDescent="0.25">
      <c r="A77" s="103">
        <v>41771</v>
      </c>
      <c r="B77" s="105">
        <v>5</v>
      </c>
      <c r="C77">
        <v>1007</v>
      </c>
      <c r="D77" s="105">
        <v>951</v>
      </c>
      <c r="E77" s="181">
        <v>113</v>
      </c>
      <c r="F77" s="181">
        <v>307.5</v>
      </c>
      <c r="G77">
        <v>741</v>
      </c>
      <c r="H77">
        <v>689</v>
      </c>
      <c r="I77">
        <v>124.41</v>
      </c>
    </row>
    <row r="78" spans="1:9" x14ac:dyDescent="0.25">
      <c r="A78" s="103">
        <v>41772</v>
      </c>
      <c r="B78" s="105">
        <v>4</v>
      </c>
      <c r="C78">
        <v>874</v>
      </c>
      <c r="D78" s="105">
        <v>809</v>
      </c>
      <c r="E78" s="181">
        <v>104</v>
      </c>
      <c r="F78" s="181">
        <v>261.5</v>
      </c>
      <c r="G78">
        <v>626</v>
      </c>
      <c r="H78">
        <v>522.1</v>
      </c>
      <c r="I78">
        <v>104.27</v>
      </c>
    </row>
    <row r="79" spans="1:9" x14ac:dyDescent="0.25">
      <c r="A79" s="103">
        <v>41773</v>
      </c>
      <c r="B79" s="105">
        <v>4</v>
      </c>
      <c r="C79">
        <v>912</v>
      </c>
      <c r="D79" s="105">
        <v>852</v>
      </c>
      <c r="E79" s="181">
        <v>146</v>
      </c>
      <c r="F79" s="181">
        <v>257</v>
      </c>
      <c r="G79">
        <v>622</v>
      </c>
      <c r="H79">
        <v>579.79999999999995</v>
      </c>
      <c r="I79">
        <v>121.52</v>
      </c>
    </row>
    <row r="80" spans="1:9" x14ac:dyDescent="0.25">
      <c r="A80" s="103">
        <v>41774</v>
      </c>
      <c r="B80" s="105">
        <v>5</v>
      </c>
      <c r="C80">
        <v>1073</v>
      </c>
      <c r="D80" s="105">
        <v>1003</v>
      </c>
      <c r="E80" s="181">
        <v>157</v>
      </c>
      <c r="F80" s="181">
        <v>284</v>
      </c>
      <c r="G80">
        <v>670</v>
      </c>
      <c r="H80">
        <v>660.4</v>
      </c>
      <c r="I80">
        <v>134.97999999999999</v>
      </c>
    </row>
    <row r="81" spans="1:9" x14ac:dyDescent="0.25">
      <c r="A81" s="103">
        <v>41775</v>
      </c>
      <c r="B81" s="105">
        <v>4</v>
      </c>
      <c r="C81">
        <v>804</v>
      </c>
      <c r="D81" s="105">
        <v>747</v>
      </c>
      <c r="E81" s="181">
        <v>50</v>
      </c>
      <c r="F81" s="181">
        <v>237.5</v>
      </c>
      <c r="G81">
        <v>485</v>
      </c>
      <c r="H81">
        <v>486.2</v>
      </c>
      <c r="I81">
        <v>89.36</v>
      </c>
    </row>
    <row r="82" spans="1:9" x14ac:dyDescent="0.25">
      <c r="A82" s="103">
        <v>41776</v>
      </c>
      <c r="B82" s="105">
        <v>4</v>
      </c>
      <c r="C82">
        <v>839</v>
      </c>
      <c r="D82" s="105">
        <v>782</v>
      </c>
      <c r="E82" s="181">
        <v>84.6</v>
      </c>
      <c r="F82" s="181">
        <v>234</v>
      </c>
      <c r="G82">
        <v>535</v>
      </c>
      <c r="H82">
        <v>530.4</v>
      </c>
      <c r="I82">
        <v>99.75</v>
      </c>
    </row>
    <row r="83" spans="1:9" x14ac:dyDescent="0.25">
      <c r="A83" s="103">
        <v>41777</v>
      </c>
      <c r="B83" s="105">
        <v>5</v>
      </c>
      <c r="C83">
        <v>1048</v>
      </c>
      <c r="D83" s="105">
        <v>968</v>
      </c>
      <c r="E83" s="181">
        <v>81.599999999999994</v>
      </c>
      <c r="F83" s="181">
        <v>274</v>
      </c>
      <c r="G83">
        <v>684</v>
      </c>
      <c r="H83">
        <v>608.4</v>
      </c>
      <c r="I83">
        <v>127.11</v>
      </c>
    </row>
    <row r="84" spans="1:9" x14ac:dyDescent="0.25">
      <c r="A84" s="103">
        <v>41778</v>
      </c>
      <c r="B84" s="105">
        <v>5</v>
      </c>
      <c r="C84">
        <v>1180</v>
      </c>
      <c r="D84" s="105">
        <v>1109</v>
      </c>
      <c r="E84" s="181">
        <v>94.7</v>
      </c>
      <c r="F84" s="181">
        <v>270</v>
      </c>
      <c r="G84">
        <v>636</v>
      </c>
      <c r="H84">
        <v>713.8</v>
      </c>
      <c r="I84">
        <v>139.83000000000001</v>
      </c>
    </row>
    <row r="85" spans="1:9" x14ac:dyDescent="0.25">
      <c r="A85" s="103">
        <v>41779</v>
      </c>
      <c r="B85" s="105">
        <v>4</v>
      </c>
      <c r="C85">
        <v>727</v>
      </c>
      <c r="D85" s="105">
        <v>683</v>
      </c>
      <c r="E85" s="181">
        <v>93.5</v>
      </c>
      <c r="F85" s="181">
        <v>244</v>
      </c>
      <c r="G85">
        <v>585</v>
      </c>
      <c r="H85">
        <v>314.7</v>
      </c>
      <c r="I85">
        <v>97.83</v>
      </c>
    </row>
    <row r="86" spans="1:9" x14ac:dyDescent="0.25">
      <c r="A86" s="103">
        <v>41780</v>
      </c>
      <c r="B86" s="105">
        <v>5</v>
      </c>
      <c r="C86">
        <v>1006</v>
      </c>
      <c r="D86" s="105">
        <v>938</v>
      </c>
      <c r="E86" s="181">
        <v>138.19999999999999</v>
      </c>
      <c r="F86" s="181">
        <v>318.5</v>
      </c>
      <c r="G86">
        <v>745</v>
      </c>
      <c r="H86">
        <v>507.15</v>
      </c>
      <c r="I86">
        <v>122.92</v>
      </c>
    </row>
    <row r="87" spans="1:9" x14ac:dyDescent="0.25">
      <c r="A87" s="103">
        <v>41781</v>
      </c>
      <c r="B87" s="105">
        <v>5</v>
      </c>
      <c r="C87">
        <v>1020</v>
      </c>
      <c r="D87" s="105">
        <v>953</v>
      </c>
      <c r="E87" s="181">
        <v>161.1</v>
      </c>
      <c r="F87" s="181">
        <v>292.5</v>
      </c>
      <c r="G87">
        <v>689</v>
      </c>
      <c r="H87">
        <v>466.23</v>
      </c>
      <c r="I87">
        <v>142.41999999999999</v>
      </c>
    </row>
    <row r="88" spans="1:9" x14ac:dyDescent="0.25">
      <c r="A88" s="103">
        <v>41782</v>
      </c>
      <c r="B88" s="105">
        <v>5</v>
      </c>
      <c r="C88">
        <v>977</v>
      </c>
      <c r="D88" s="105">
        <v>918</v>
      </c>
      <c r="E88" s="181">
        <v>134.4</v>
      </c>
      <c r="F88" s="181">
        <v>285</v>
      </c>
      <c r="G88">
        <v>751</v>
      </c>
      <c r="H88">
        <v>361.52</v>
      </c>
      <c r="I88">
        <v>120.65</v>
      </c>
    </row>
    <row r="89" spans="1:9" x14ac:dyDescent="0.25">
      <c r="A89" s="103">
        <v>41783</v>
      </c>
      <c r="B89" s="105">
        <v>5</v>
      </c>
      <c r="C89">
        <v>1046</v>
      </c>
      <c r="D89" s="105">
        <v>985</v>
      </c>
      <c r="E89" s="181">
        <v>131.30000000000001</v>
      </c>
      <c r="F89" s="181">
        <v>325</v>
      </c>
      <c r="G89">
        <v>750</v>
      </c>
      <c r="H89">
        <v>566.6</v>
      </c>
      <c r="I89">
        <v>121.89</v>
      </c>
    </row>
    <row r="90" spans="1:9" x14ac:dyDescent="0.25">
      <c r="A90" s="103">
        <v>41784</v>
      </c>
      <c r="B90" s="105">
        <v>4</v>
      </c>
      <c r="C90">
        <v>829</v>
      </c>
      <c r="D90" s="105">
        <v>783</v>
      </c>
      <c r="E90" s="181">
        <v>87</v>
      </c>
      <c r="F90" s="181">
        <v>245.5</v>
      </c>
      <c r="G90">
        <v>534</v>
      </c>
      <c r="H90">
        <v>375.36</v>
      </c>
      <c r="I90">
        <v>91.84</v>
      </c>
    </row>
    <row r="91" spans="1:9" x14ac:dyDescent="0.25">
      <c r="A91" s="103">
        <v>41785</v>
      </c>
      <c r="B91" s="105">
        <v>5</v>
      </c>
      <c r="C91">
        <v>1045</v>
      </c>
      <c r="D91" s="105">
        <v>989</v>
      </c>
      <c r="E91" s="181">
        <v>88.4</v>
      </c>
      <c r="F91" s="181">
        <v>267.5</v>
      </c>
      <c r="G91">
        <v>692</v>
      </c>
      <c r="H91">
        <v>393.44</v>
      </c>
      <c r="I91">
        <v>114.53</v>
      </c>
    </row>
    <row r="92" spans="1:9" x14ac:dyDescent="0.25">
      <c r="A92" s="103">
        <v>41786</v>
      </c>
      <c r="B92" s="105">
        <v>5</v>
      </c>
      <c r="C92">
        <v>1026</v>
      </c>
      <c r="D92" s="105">
        <v>964</v>
      </c>
      <c r="E92" s="181">
        <v>123.8</v>
      </c>
      <c r="F92" s="181">
        <v>280</v>
      </c>
      <c r="G92">
        <v>662</v>
      </c>
      <c r="H92">
        <v>555.52</v>
      </c>
      <c r="I92">
        <v>128.02000000000001</v>
      </c>
    </row>
    <row r="93" spans="1:9" x14ac:dyDescent="0.25">
      <c r="A93" s="103">
        <v>41787</v>
      </c>
      <c r="B93" s="105">
        <v>2</v>
      </c>
      <c r="C93">
        <v>422</v>
      </c>
      <c r="D93" s="105">
        <v>399</v>
      </c>
      <c r="E93" s="181">
        <v>78.8</v>
      </c>
      <c r="F93" s="181">
        <v>142</v>
      </c>
      <c r="G93">
        <v>275</v>
      </c>
      <c r="H93">
        <v>267.8</v>
      </c>
      <c r="I93">
        <v>58.2</v>
      </c>
    </row>
    <row r="94" spans="1:9" x14ac:dyDescent="0.25">
      <c r="A94" s="103">
        <v>41788</v>
      </c>
      <c r="B94" s="105">
        <v>6</v>
      </c>
      <c r="C94">
        <v>1187</v>
      </c>
      <c r="D94" s="105">
        <v>1112</v>
      </c>
      <c r="E94" s="181">
        <v>149.69999999999999</v>
      </c>
      <c r="F94" s="181">
        <v>360</v>
      </c>
      <c r="G94">
        <v>781</v>
      </c>
      <c r="H94">
        <v>743.2</v>
      </c>
      <c r="I94">
        <v>146.78</v>
      </c>
    </row>
    <row r="95" spans="1:9" x14ac:dyDescent="0.25">
      <c r="A95" s="103">
        <v>41789</v>
      </c>
      <c r="B95" s="105">
        <v>5</v>
      </c>
      <c r="C95">
        <v>961</v>
      </c>
      <c r="D95" s="105">
        <v>906</v>
      </c>
      <c r="E95" s="181">
        <v>157.19999999999999</v>
      </c>
      <c r="F95" s="181">
        <v>268</v>
      </c>
      <c r="G95">
        <v>583</v>
      </c>
      <c r="H95">
        <v>640</v>
      </c>
      <c r="I95">
        <v>147.29</v>
      </c>
    </row>
    <row r="96" spans="1:9" x14ac:dyDescent="0.25">
      <c r="A96" s="103">
        <v>41790</v>
      </c>
      <c r="B96" s="105">
        <v>3</v>
      </c>
      <c r="C96">
        <v>594</v>
      </c>
      <c r="D96" s="105">
        <v>560</v>
      </c>
      <c r="E96" s="181">
        <v>84.6</v>
      </c>
      <c r="F96" s="181">
        <v>197</v>
      </c>
      <c r="G96">
        <v>375</v>
      </c>
      <c r="H96">
        <v>371.8</v>
      </c>
      <c r="I96">
        <v>87.39</v>
      </c>
    </row>
    <row r="98" spans="1:9" x14ac:dyDescent="0.25">
      <c r="A98" s="103">
        <v>41791</v>
      </c>
      <c r="B98" s="105">
        <v>5</v>
      </c>
      <c r="C98">
        <v>982</v>
      </c>
      <c r="D98" s="105">
        <v>921</v>
      </c>
      <c r="E98" s="181">
        <v>99.5</v>
      </c>
      <c r="F98" s="181">
        <v>300</v>
      </c>
      <c r="G98">
        <v>616</v>
      </c>
      <c r="H98">
        <v>730.6</v>
      </c>
      <c r="I98">
        <v>138.22</v>
      </c>
    </row>
    <row r="99" spans="1:9" x14ac:dyDescent="0.25">
      <c r="A99" s="103">
        <v>41792</v>
      </c>
      <c r="B99" s="105">
        <v>3</v>
      </c>
      <c r="C99">
        <v>636</v>
      </c>
      <c r="D99" s="105">
        <v>598</v>
      </c>
      <c r="E99" s="105">
        <v>49.879999995231628</v>
      </c>
      <c r="F99" s="105">
        <v>149.5</v>
      </c>
      <c r="G99" s="105">
        <v>406</v>
      </c>
      <c r="H99" s="105">
        <v>426.4</v>
      </c>
      <c r="I99" s="105">
        <v>80.22</v>
      </c>
    </row>
    <row r="100" spans="1:9" x14ac:dyDescent="0.25">
      <c r="A100" s="103">
        <v>41793</v>
      </c>
      <c r="B100" s="105">
        <v>4</v>
      </c>
      <c r="C100">
        <v>784</v>
      </c>
      <c r="D100" s="105">
        <v>738</v>
      </c>
      <c r="E100" s="105">
        <v>59.1</v>
      </c>
      <c r="F100" s="105">
        <v>273.7</v>
      </c>
      <c r="G100" s="105">
        <v>539</v>
      </c>
      <c r="H100" s="105">
        <v>475.8</v>
      </c>
      <c r="I100" s="105">
        <v>87.38</v>
      </c>
    </row>
    <row r="101" spans="1:9" x14ac:dyDescent="0.25">
      <c r="A101" s="103">
        <v>41794</v>
      </c>
      <c r="B101" s="105">
        <v>5</v>
      </c>
      <c r="C101">
        <v>1000</v>
      </c>
      <c r="D101" s="105">
        <v>947</v>
      </c>
      <c r="E101">
        <v>70.7</v>
      </c>
      <c r="F101">
        <v>338.2</v>
      </c>
      <c r="G101">
        <v>637</v>
      </c>
      <c r="H101">
        <v>741.2</v>
      </c>
      <c r="I101">
        <v>123.16</v>
      </c>
    </row>
    <row r="102" spans="1:9" x14ac:dyDescent="0.25">
      <c r="A102" s="103">
        <v>41795</v>
      </c>
    </row>
    <row r="103" spans="1:9" x14ac:dyDescent="0.25">
      <c r="A103" s="103">
        <v>41796</v>
      </c>
    </row>
    <row r="104" spans="1:9" x14ac:dyDescent="0.25">
      <c r="A104" s="103">
        <v>41797</v>
      </c>
    </row>
    <row r="105" spans="1:9" x14ac:dyDescent="0.25">
      <c r="A105" s="103">
        <v>41798</v>
      </c>
    </row>
    <row r="106" spans="1:9" x14ac:dyDescent="0.25">
      <c r="A106" s="103">
        <v>41799</v>
      </c>
    </row>
    <row r="107" spans="1:9" x14ac:dyDescent="0.25">
      <c r="A107" s="103">
        <v>41800</v>
      </c>
    </row>
    <row r="108" spans="1:9" x14ac:dyDescent="0.25">
      <c r="A108" s="103">
        <v>41801</v>
      </c>
    </row>
    <row r="109" spans="1:9" x14ac:dyDescent="0.25">
      <c r="A109" s="103">
        <v>41802</v>
      </c>
    </row>
    <row r="110" spans="1:9" x14ac:dyDescent="0.25">
      <c r="A110" s="103">
        <v>41803</v>
      </c>
    </row>
    <row r="111" spans="1:9" x14ac:dyDescent="0.25">
      <c r="A111" s="103">
        <v>41804</v>
      </c>
    </row>
    <row r="112" spans="1:9" x14ac:dyDescent="0.25">
      <c r="A112" s="103">
        <v>41805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Data_mbcb</vt:lpstr>
      <vt:lpstr>Sheet1</vt:lpstr>
      <vt:lpstr>Sheet3</vt:lpstr>
      <vt:lpstr>Data_mbcb!Print_Area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rklt</dc:creator>
  <cp:lastModifiedBy>Mae Beverly C. Benigay</cp:lastModifiedBy>
  <cp:lastPrinted>2015-03-07T23:15:53Z</cp:lastPrinted>
  <dcterms:created xsi:type="dcterms:W3CDTF">2013-07-06T05:42:27Z</dcterms:created>
  <dcterms:modified xsi:type="dcterms:W3CDTF">2015-04-05T17:33:46Z</dcterms:modified>
</cp:coreProperties>
</file>